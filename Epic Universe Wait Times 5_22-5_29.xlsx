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522" sheetId="2" r:id="rId6"/>
    <sheet state="visible" name="523" sheetId="3" r:id="rId7"/>
    <sheet state="visible" name="524" sheetId="4" r:id="rId8"/>
    <sheet state="visible" name="525" sheetId="5" r:id="rId9"/>
    <sheet state="visible" name="526" sheetId="6" r:id="rId10"/>
    <sheet state="visible" name="527" sheetId="7" r:id="rId11"/>
    <sheet state="visible" name="528" sheetId="8" r:id="rId12"/>
    <sheet state="visible" name="529" sheetId="9" r:id="rId13"/>
    <sheet state="visible" name="Results" sheetId="10" r:id="rId14"/>
  </sheets>
  <definedNames/>
  <calcPr/>
</workbook>
</file>

<file path=xl/sharedStrings.xml><?xml version="1.0" encoding="utf-8"?>
<sst xmlns="http://schemas.openxmlformats.org/spreadsheetml/2006/main" count="278" uniqueCount="43">
  <si>
    <t>Weather Code</t>
  </si>
  <si>
    <t>Ride Names</t>
  </si>
  <si>
    <t>Wait Time Codes</t>
  </si>
  <si>
    <t>Summary</t>
  </si>
  <si>
    <t>Clear</t>
  </si>
  <si>
    <t>Delayed</t>
  </si>
  <si>
    <t>Data was gathered using the Universal Orlando Resort Application.</t>
  </si>
  <si>
    <t>Raining</t>
  </si>
  <si>
    <t>Wait times were documented within 5 minutes of the hour mark.</t>
  </si>
  <si>
    <t>Storms resulting in delays</t>
  </si>
  <si>
    <t>Wait Times</t>
  </si>
  <si>
    <t>9 A.M.</t>
  </si>
  <si>
    <t>10 A.M.</t>
  </si>
  <si>
    <t>11 A.M.</t>
  </si>
  <si>
    <t>12 P.M.</t>
  </si>
  <si>
    <t>1 P.M.</t>
  </si>
  <si>
    <t>2 P.M.</t>
  </si>
  <si>
    <t>3 P.M.</t>
  </si>
  <si>
    <t>4 P.M.</t>
  </si>
  <si>
    <t>5 P.M.</t>
  </si>
  <si>
    <t>6 P.M.</t>
  </si>
  <si>
    <t xml:space="preserve">7 P.M. </t>
  </si>
  <si>
    <t>8 P.M.</t>
  </si>
  <si>
    <t>9 P.M.</t>
  </si>
  <si>
    <t>10 P.M.</t>
  </si>
  <si>
    <t>Average Wait Time for Given Ride</t>
  </si>
  <si>
    <t>Constellation Carousel</t>
  </si>
  <si>
    <t>Curse of the Werewolf</t>
  </si>
  <si>
    <t>Dragon Racer's Rally</t>
  </si>
  <si>
    <t>Fyre Drill</t>
  </si>
  <si>
    <t>Battle At Ministry</t>
  </si>
  <si>
    <t>Hiccup's Wing Gliders</t>
  </si>
  <si>
    <t>Mario Kart: Bowser's Challenge</t>
  </si>
  <si>
    <t>Mine-Cart Madness</t>
  </si>
  <si>
    <t>Monsters Unchained</t>
  </si>
  <si>
    <t>Stardust Racers</t>
  </si>
  <si>
    <t>Yoshi's Adventure</t>
  </si>
  <si>
    <t>Weather</t>
  </si>
  <si>
    <t>Average Wait Time For Time</t>
  </si>
  <si>
    <t>Average Times</t>
  </si>
  <si>
    <t>Delays Per Ride</t>
  </si>
  <si>
    <t>Breakdowns Per Ride</t>
  </si>
  <si>
    <t>Wait by Day in Total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</si>
</sst>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Wait Times Throughout the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Results!$C$14:$P$14</c:f>
              <c:numCache/>
            </c:numRef>
          </c:val>
          <c:smooth val="0"/>
        </c:ser>
        <c:axId val="1915343711"/>
        <c:axId val="1101712181"/>
      </c:lineChart>
      <c:catAx>
        <c:axId val="191534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712181"/>
      </c:catAx>
      <c:valAx>
        <c:axId val="1101712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343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Epic Universe Attendance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Results!$V$3:$V$10</c:f>
            </c:strRef>
          </c:cat>
          <c:val>
            <c:numRef>
              <c:f>Results!$W$3:$W$10</c:f>
              <c:numCache/>
            </c:numRef>
          </c:val>
          <c:smooth val="0"/>
        </c:ser>
        <c:axId val="1983007148"/>
        <c:axId val="1844106018"/>
      </c:lineChart>
      <c:catAx>
        <c:axId val="1983007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Wait by Day in Total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4106018"/>
      </c:catAx>
      <c:valAx>
        <c:axId val="1844106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007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Wait Times By Ride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Constellation Carousel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Results!$C$3:$P$3</c:f>
              <c:numCache/>
            </c:numRef>
          </c:val>
          <c:smooth val="0"/>
        </c:ser>
        <c:ser>
          <c:idx val="1"/>
          <c:order val="1"/>
          <c:tx>
            <c:v>Curse of the Werewolf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Results!$I$19</c:f>
              <c:numCache/>
            </c:numRef>
          </c:val>
          <c:smooth val="0"/>
        </c:ser>
        <c:ser>
          <c:idx val="2"/>
          <c:order val="2"/>
          <c:tx>
            <c:v>Dragon Racer's Rally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Results!$I$19</c:f>
              <c:numCache/>
            </c:numRef>
          </c:val>
          <c:smooth val="0"/>
        </c:ser>
        <c:ser>
          <c:idx val="3"/>
          <c:order val="3"/>
          <c:tx>
            <c:v>Fyre Drill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Results!$C$4:$P$4</c:f>
              <c:numCache/>
            </c:numRef>
          </c:val>
          <c:smooth val="0"/>
        </c:ser>
        <c:ser>
          <c:idx val="4"/>
          <c:order val="4"/>
          <c:tx>
            <c:v>Battle At The Ministry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Results!$C$5:$P$5</c:f>
              <c:numCache/>
            </c:numRef>
          </c:val>
          <c:smooth val="0"/>
        </c:ser>
        <c:ser>
          <c:idx val="5"/>
          <c:order val="5"/>
          <c:tx>
            <c:v>Hiccup's Wing Gliders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Results!$C$6:$P$6</c:f>
              <c:numCache/>
            </c:numRef>
          </c:val>
          <c:smooth val="0"/>
        </c:ser>
        <c:ser>
          <c:idx val="6"/>
          <c:order val="6"/>
          <c:tx>
            <c:v>Mario Kart: Bowser's Challenge</c:v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Results!$C$7:$P$7</c:f>
              <c:numCache/>
            </c:numRef>
          </c:val>
          <c:smooth val="0"/>
        </c:ser>
        <c:ser>
          <c:idx val="7"/>
          <c:order val="7"/>
          <c:tx>
            <c:v>Mine-Cart Madness</c:v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Results!$C$8:$P$8</c:f>
              <c:numCache/>
            </c:numRef>
          </c:val>
          <c:smooth val="0"/>
        </c:ser>
        <c:ser>
          <c:idx val="8"/>
          <c:order val="8"/>
          <c:tx>
            <c:v>Monster's Unchained</c:v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Results!$C$9:$P$9</c:f>
              <c:numCache/>
            </c:numRef>
          </c:val>
          <c:smooth val="0"/>
        </c:ser>
        <c:ser>
          <c:idx val="9"/>
          <c:order val="9"/>
          <c:tx>
            <c:v>Stardust Racers</c:v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Results!$C$10:$P$10</c:f>
              <c:numCache/>
            </c:numRef>
          </c:val>
          <c:smooth val="0"/>
        </c:ser>
        <c:ser>
          <c:idx val="10"/>
          <c:order val="10"/>
          <c:tx>
            <c:v>Yoshi's Adventure</c:v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Results!$C$2:$P$2</c:f>
            </c:strRef>
          </c:cat>
          <c:val>
            <c:numRef>
              <c:f>Results!$C$11:$P$11</c:f>
              <c:numCache/>
            </c:numRef>
          </c:val>
          <c:smooth val="0"/>
        </c:ser>
        <c:axId val="1226291457"/>
        <c:axId val="2141981028"/>
      </c:lineChart>
      <c:catAx>
        <c:axId val="1226291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981028"/>
      </c:catAx>
      <c:valAx>
        <c:axId val="2141981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291457"/>
      </c:valAx>
    </c:plotArea>
    <c:legend>
      <c:legendPos val="r"/>
      <c:legendEntry>
        <c:idx val="6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190500</xdr:rowOff>
    </xdr:from>
    <xdr:ext cx="76866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952500</xdr:colOff>
      <xdr:row>14</xdr:row>
      <xdr:rowOff>190500</xdr:rowOff>
    </xdr:from>
    <xdr:ext cx="57626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942975</xdr:colOff>
      <xdr:row>14</xdr:row>
      <xdr:rowOff>190500</xdr:rowOff>
    </xdr:from>
    <xdr:ext cx="57626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D1" s="2" t="s">
        <v>2</v>
      </c>
      <c r="G1" s="2" t="s">
        <v>3</v>
      </c>
    </row>
    <row r="2">
      <c r="A2" s="2">
        <v>0.0</v>
      </c>
      <c r="B2" s="2" t="s">
        <v>4</v>
      </c>
      <c r="D2" s="2">
        <v>0.0</v>
      </c>
      <c r="E2" s="2" t="s">
        <v>5</v>
      </c>
      <c r="G2" s="2" t="s">
        <v>6</v>
      </c>
    </row>
    <row r="3">
      <c r="A3" s="2">
        <v>1.0</v>
      </c>
      <c r="B3" s="2" t="s">
        <v>7</v>
      </c>
      <c r="G3" s="2" t="s">
        <v>8</v>
      </c>
    </row>
    <row r="4">
      <c r="A4" s="2">
        <v>2.0</v>
      </c>
      <c r="B4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 t="s">
        <v>25</v>
      </c>
    </row>
    <row r="2">
      <c r="A2" s="3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 t="s">
        <v>10</v>
      </c>
      <c r="B3" s="1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</row>
    <row r="4">
      <c r="A4" s="4"/>
      <c r="B4" s="4" t="s">
        <v>26</v>
      </c>
      <c r="C4" s="2">
        <v>5.0</v>
      </c>
      <c r="D4" s="2">
        <v>5.0</v>
      </c>
      <c r="E4" s="2">
        <v>5.0</v>
      </c>
      <c r="F4" s="2">
        <v>10.0</v>
      </c>
      <c r="G4" s="2">
        <v>5.0</v>
      </c>
      <c r="H4" s="2">
        <v>5.0</v>
      </c>
      <c r="I4" s="2">
        <v>5.0</v>
      </c>
      <c r="J4" s="2">
        <v>5.0</v>
      </c>
      <c r="K4" s="2">
        <v>5.0</v>
      </c>
      <c r="L4" s="2">
        <v>5.0</v>
      </c>
      <c r="M4" s="2">
        <v>5.0</v>
      </c>
      <c r="N4" s="2">
        <v>5.0</v>
      </c>
      <c r="O4" s="2">
        <v>20.0</v>
      </c>
      <c r="P4" s="2">
        <v>35.0</v>
      </c>
      <c r="Q4" s="5">
        <f t="shared" ref="Q4:Q15" si="1">AVERAGEIF(A4:P4,"&lt;&gt;-1",A4:P14)</f>
        <v>8.571428571</v>
      </c>
    </row>
    <row r="5">
      <c r="A5" s="4"/>
      <c r="B5" s="4" t="s">
        <v>27</v>
      </c>
      <c r="C5" s="2">
        <v>20.0</v>
      </c>
      <c r="D5" s="2">
        <v>5.0</v>
      </c>
      <c r="E5" s="2">
        <v>5.0</v>
      </c>
      <c r="F5" s="2">
        <v>15.0</v>
      </c>
      <c r="G5" s="2">
        <v>25.0</v>
      </c>
      <c r="H5" s="2">
        <v>10.0</v>
      </c>
      <c r="I5" s="2">
        <v>25.0</v>
      </c>
      <c r="J5" s="2">
        <v>10.0</v>
      </c>
      <c r="K5" s="2">
        <v>5.0</v>
      </c>
      <c r="L5" s="2">
        <v>5.0</v>
      </c>
      <c r="M5" s="2">
        <v>5.0</v>
      </c>
      <c r="N5" s="2">
        <v>5.0</v>
      </c>
      <c r="O5" s="2">
        <v>15.0</v>
      </c>
      <c r="P5" s="2">
        <v>5.0</v>
      </c>
      <c r="Q5" s="2">
        <f t="shared" si="1"/>
        <v>11.07142857</v>
      </c>
      <c r="R5" s="2"/>
    </row>
    <row r="6">
      <c r="A6" s="4"/>
      <c r="B6" s="4" t="s">
        <v>28</v>
      </c>
      <c r="C6" s="2">
        <v>10.0</v>
      </c>
      <c r="D6" s="2">
        <v>5.0</v>
      </c>
      <c r="E6" s="2">
        <v>5.0</v>
      </c>
      <c r="F6" s="2">
        <v>25.0</v>
      </c>
      <c r="G6" s="2">
        <v>10.0</v>
      </c>
      <c r="H6" s="2">
        <v>5.0</v>
      </c>
      <c r="I6" s="2">
        <v>10.0</v>
      </c>
      <c r="J6" s="2">
        <v>5.0</v>
      </c>
      <c r="K6" s="2">
        <v>5.0</v>
      </c>
      <c r="L6" s="2">
        <v>5.0</v>
      </c>
      <c r="M6" s="2">
        <v>15.0</v>
      </c>
      <c r="N6" s="2">
        <v>15.0</v>
      </c>
      <c r="O6" s="2">
        <v>15.0</v>
      </c>
      <c r="P6" s="2">
        <v>15.0</v>
      </c>
      <c r="Q6" s="2">
        <f t="shared" si="1"/>
        <v>10.35714286</v>
      </c>
      <c r="R6" s="2"/>
    </row>
    <row r="7">
      <c r="A7" s="4"/>
      <c r="B7" s="4" t="s">
        <v>29</v>
      </c>
      <c r="C7" s="2">
        <v>10.0</v>
      </c>
      <c r="D7" s="2">
        <v>10.0</v>
      </c>
      <c r="E7" s="2">
        <v>5.0</v>
      </c>
      <c r="F7" s="2">
        <v>5.0</v>
      </c>
      <c r="G7" s="2">
        <v>15.0</v>
      </c>
      <c r="H7" s="2">
        <v>5.0</v>
      </c>
      <c r="I7" s="2">
        <v>5.0</v>
      </c>
      <c r="J7" s="2">
        <v>5.0</v>
      </c>
      <c r="K7" s="2">
        <v>5.0</v>
      </c>
      <c r="L7" s="2">
        <v>5.0</v>
      </c>
      <c r="M7" s="2">
        <v>5.0</v>
      </c>
      <c r="N7" s="2">
        <v>5.0</v>
      </c>
      <c r="O7" s="2">
        <v>5.0</v>
      </c>
      <c r="P7" s="2">
        <v>5.0</v>
      </c>
      <c r="Q7" s="2">
        <f t="shared" si="1"/>
        <v>6.428571429</v>
      </c>
      <c r="R7" s="2"/>
    </row>
    <row r="8">
      <c r="A8" s="4"/>
      <c r="B8" s="4" t="s">
        <v>30</v>
      </c>
      <c r="C8" s="2">
        <v>300.0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240.0</v>
      </c>
      <c r="K8" s="2">
        <v>240.0</v>
      </c>
      <c r="L8" s="2">
        <v>180.0</v>
      </c>
      <c r="M8" s="2">
        <v>150.0</v>
      </c>
      <c r="N8" s="2">
        <v>100.0</v>
      </c>
      <c r="O8" s="2">
        <v>90.0</v>
      </c>
      <c r="P8" s="2">
        <v>65.0</v>
      </c>
      <c r="Q8" s="2">
        <f t="shared" si="1"/>
        <v>97.5</v>
      </c>
      <c r="R8" s="2"/>
    </row>
    <row r="9">
      <c r="A9" s="4"/>
      <c r="B9" s="4" t="s">
        <v>31</v>
      </c>
      <c r="C9" s="2">
        <v>10.0</v>
      </c>
      <c r="D9" s="2">
        <v>5.0</v>
      </c>
      <c r="E9" s="2">
        <v>5.0</v>
      </c>
      <c r="F9" s="2">
        <v>5.0</v>
      </c>
      <c r="G9" s="2">
        <v>10.0</v>
      </c>
      <c r="H9" s="2">
        <v>5.0</v>
      </c>
      <c r="I9" s="2">
        <v>5.0</v>
      </c>
      <c r="J9" s="2">
        <v>25.0</v>
      </c>
      <c r="K9" s="2">
        <v>5.0</v>
      </c>
      <c r="L9" s="2">
        <v>5.0</v>
      </c>
      <c r="M9" s="2">
        <v>5.0</v>
      </c>
      <c r="N9" s="2">
        <v>5.0</v>
      </c>
      <c r="O9" s="2">
        <v>5.0</v>
      </c>
      <c r="P9" s="2">
        <v>5.0</v>
      </c>
      <c r="Q9" s="2">
        <f t="shared" si="1"/>
        <v>7.142857143</v>
      </c>
      <c r="R9" s="2"/>
    </row>
    <row r="10">
      <c r="A10" s="4"/>
      <c r="B10" s="4" t="s">
        <v>32</v>
      </c>
      <c r="C10" s="2">
        <v>15.0</v>
      </c>
      <c r="D10" s="2">
        <v>25.0</v>
      </c>
      <c r="E10" s="2">
        <v>45.0</v>
      </c>
      <c r="F10" s="2">
        <v>45.0</v>
      </c>
      <c r="G10" s="2">
        <v>15.0</v>
      </c>
      <c r="H10" s="2">
        <v>25.0</v>
      </c>
      <c r="I10" s="2">
        <v>25.0</v>
      </c>
      <c r="J10" s="2">
        <v>35.0</v>
      </c>
      <c r="K10" s="2">
        <v>0.0</v>
      </c>
      <c r="L10" s="2">
        <v>10.0</v>
      </c>
      <c r="M10" s="2">
        <v>10.0</v>
      </c>
      <c r="N10" s="2">
        <v>10.0</v>
      </c>
      <c r="O10" s="2">
        <v>10.0</v>
      </c>
      <c r="P10" s="2">
        <v>10.0</v>
      </c>
      <c r="Q10" s="2">
        <f t="shared" si="1"/>
        <v>20</v>
      </c>
      <c r="R10" s="2"/>
    </row>
    <row r="11">
      <c r="A11" s="4"/>
      <c r="B11" s="4" t="s">
        <v>33</v>
      </c>
      <c r="C11" s="2">
        <v>25.0</v>
      </c>
      <c r="D11" s="2">
        <v>35.0</v>
      </c>
      <c r="E11" s="2">
        <v>25.0</v>
      </c>
      <c r="F11" s="2">
        <v>15.0</v>
      </c>
      <c r="G11" s="2">
        <v>10.0</v>
      </c>
      <c r="H11" s="2">
        <v>10.0</v>
      </c>
      <c r="I11" s="2">
        <v>10.0</v>
      </c>
      <c r="J11" s="2">
        <v>10.0</v>
      </c>
      <c r="K11" s="2">
        <v>10.0</v>
      </c>
      <c r="L11" s="2">
        <v>10.0</v>
      </c>
      <c r="M11" s="2">
        <v>5.0</v>
      </c>
      <c r="N11" s="2">
        <v>5.0</v>
      </c>
      <c r="O11" s="2">
        <v>10.0</v>
      </c>
      <c r="P11" s="2">
        <v>5.0</v>
      </c>
      <c r="Q11" s="2">
        <f t="shared" si="1"/>
        <v>13.21428571</v>
      </c>
      <c r="R11" s="2"/>
    </row>
    <row r="12">
      <c r="A12" s="4"/>
      <c r="B12" s="4" t="s">
        <v>34</v>
      </c>
      <c r="C12" s="2">
        <v>20.0</v>
      </c>
      <c r="D12" s="2">
        <v>35.0</v>
      </c>
      <c r="E12" s="2">
        <v>20.0</v>
      </c>
      <c r="F12" s="2">
        <v>20.0</v>
      </c>
      <c r="G12" s="2">
        <v>10.0</v>
      </c>
      <c r="H12" s="2">
        <v>10.0</v>
      </c>
      <c r="I12" s="2">
        <v>20.0</v>
      </c>
      <c r="J12" s="2">
        <v>10.0</v>
      </c>
      <c r="K12" s="2">
        <v>10.0</v>
      </c>
      <c r="L12" s="2">
        <v>15.0</v>
      </c>
      <c r="M12" s="2">
        <v>15.0</v>
      </c>
      <c r="N12" s="2">
        <v>20.0</v>
      </c>
      <c r="O12" s="2">
        <v>10.0</v>
      </c>
      <c r="P12" s="2">
        <v>10.0</v>
      </c>
      <c r="Q12" s="2">
        <f t="shared" si="1"/>
        <v>16.07142857</v>
      </c>
      <c r="R12" s="2"/>
    </row>
    <row r="13">
      <c r="A13" s="4"/>
      <c r="B13" s="4" t="s">
        <v>35</v>
      </c>
      <c r="C13" s="2">
        <v>15.0</v>
      </c>
      <c r="D13" s="2">
        <v>15.0</v>
      </c>
      <c r="E13" s="2">
        <v>15.0</v>
      </c>
      <c r="F13" s="2">
        <v>15.0</v>
      </c>
      <c r="G13" s="2">
        <v>15.0</v>
      </c>
      <c r="H13" s="2">
        <v>15.0</v>
      </c>
      <c r="I13" s="2">
        <v>15.0</v>
      </c>
      <c r="J13" s="2">
        <v>15.0</v>
      </c>
      <c r="K13" s="2">
        <v>15.0</v>
      </c>
      <c r="L13" s="2">
        <v>15.0</v>
      </c>
      <c r="M13" s="2">
        <v>15.0</v>
      </c>
      <c r="N13" s="2">
        <v>15.0</v>
      </c>
      <c r="O13" s="2">
        <v>15.0</v>
      </c>
      <c r="P13" s="2">
        <v>15.0</v>
      </c>
      <c r="Q13" s="2">
        <f t="shared" si="1"/>
        <v>15</v>
      </c>
      <c r="R13" s="2"/>
    </row>
    <row r="14">
      <c r="A14" s="4"/>
      <c r="B14" s="4" t="s">
        <v>36</v>
      </c>
      <c r="C14" s="2">
        <v>5.0</v>
      </c>
      <c r="D14" s="2">
        <v>5.0</v>
      </c>
      <c r="E14" s="2">
        <v>5.0</v>
      </c>
      <c r="F14" s="2">
        <v>5.0</v>
      </c>
      <c r="G14" s="2">
        <v>5.0</v>
      </c>
      <c r="H14" s="2">
        <v>5.0</v>
      </c>
      <c r="I14" s="2">
        <v>5.0</v>
      </c>
      <c r="J14" s="2">
        <v>5.0</v>
      </c>
      <c r="K14" s="2">
        <v>5.0</v>
      </c>
      <c r="L14" s="2">
        <v>5.0</v>
      </c>
      <c r="M14" s="2">
        <v>5.0</v>
      </c>
      <c r="N14" s="2">
        <v>5.0</v>
      </c>
      <c r="O14" s="2">
        <v>5.0</v>
      </c>
      <c r="P14" s="2">
        <v>5.0</v>
      </c>
      <c r="Q14" s="2">
        <f t="shared" si="1"/>
        <v>5</v>
      </c>
      <c r="R14" s="2"/>
    </row>
    <row r="15">
      <c r="B15" s="3" t="s">
        <v>37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5">
        <f t="shared" si="1"/>
        <v>0</v>
      </c>
    </row>
    <row r="16">
      <c r="A16" s="3" t="s">
        <v>38</v>
      </c>
      <c r="C16" s="5">
        <f t="shared" ref="C16:P16" si="2">AVERAGEIF(C4:C14,"&lt;&gt;0",C4:C14)</f>
        <v>39.54545455</v>
      </c>
      <c r="D16" s="5">
        <f t="shared" si="2"/>
        <v>14.5</v>
      </c>
      <c r="E16" s="5">
        <f t="shared" si="2"/>
        <v>13.5</v>
      </c>
      <c r="F16" s="5">
        <f t="shared" si="2"/>
        <v>16</v>
      </c>
      <c r="G16" s="5">
        <f t="shared" si="2"/>
        <v>12</v>
      </c>
      <c r="H16" s="5">
        <f t="shared" si="2"/>
        <v>9.5</v>
      </c>
      <c r="I16" s="5">
        <f t="shared" si="2"/>
        <v>12.5</v>
      </c>
      <c r="J16" s="5">
        <f t="shared" si="2"/>
        <v>33.18181818</v>
      </c>
      <c r="K16" s="5">
        <f t="shared" si="2"/>
        <v>30.5</v>
      </c>
      <c r="L16" s="5">
        <f t="shared" si="2"/>
        <v>23.63636364</v>
      </c>
      <c r="M16" s="5">
        <f t="shared" si="2"/>
        <v>21.36363636</v>
      </c>
      <c r="N16" s="5">
        <f t="shared" si="2"/>
        <v>17.27272727</v>
      </c>
      <c r="O16" s="5">
        <f t="shared" si="2"/>
        <v>18.18181818</v>
      </c>
      <c r="P16" s="5">
        <f t="shared" si="2"/>
        <v>15.90909091</v>
      </c>
    </row>
  </sheetData>
  <conditionalFormatting sqref="A1:Q14">
    <cfRule type="cellIs" dxfId="0" priority="1" operator="equal">
      <formula>0</formula>
    </cfRule>
  </conditionalFormatting>
  <conditionalFormatting sqref="Q4:Q14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R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6:R6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R7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8:J8 L8:R8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R9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F10 H10:N10 P10:R10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10:J10 P10:R10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R11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R12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4:R14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6:P16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>
      <c r="A3" s="4"/>
      <c r="B3" s="4" t="s">
        <v>26</v>
      </c>
      <c r="C3" s="2">
        <v>5.0</v>
      </c>
      <c r="D3" s="2">
        <v>5.0</v>
      </c>
      <c r="E3" s="2">
        <v>5.0</v>
      </c>
      <c r="F3" s="2">
        <v>5.0</v>
      </c>
      <c r="G3" s="2">
        <v>5.0</v>
      </c>
      <c r="H3" s="2">
        <v>5.0</v>
      </c>
      <c r="I3" s="2">
        <v>5.0</v>
      </c>
      <c r="J3" s="2">
        <v>5.0</v>
      </c>
      <c r="K3" s="2">
        <v>5.0</v>
      </c>
      <c r="L3" s="2">
        <v>5.0</v>
      </c>
      <c r="M3" s="2">
        <v>5.0</v>
      </c>
      <c r="N3" s="2">
        <v>5.0</v>
      </c>
      <c r="O3" s="2">
        <v>25.0</v>
      </c>
      <c r="P3" s="2">
        <v>35.0</v>
      </c>
      <c r="Q3" s="5">
        <f t="shared" ref="Q3:Q13" si="1">AVERAGEIF(B3:P3,"&lt;&gt;-1",B3:P13)</f>
        <v>8.571428571</v>
      </c>
    </row>
    <row r="4">
      <c r="A4" s="4"/>
      <c r="B4" s="4" t="s">
        <v>27</v>
      </c>
      <c r="C4" s="2">
        <v>5.0</v>
      </c>
      <c r="D4" s="2">
        <v>15.0</v>
      </c>
      <c r="E4" s="2">
        <v>25.0</v>
      </c>
      <c r="F4" s="2">
        <v>35.0</v>
      </c>
      <c r="G4" s="2">
        <v>20.0</v>
      </c>
      <c r="H4" s="2">
        <v>35.0</v>
      </c>
      <c r="I4" s="2">
        <v>15.0</v>
      </c>
      <c r="J4" s="2">
        <v>25.0</v>
      </c>
      <c r="K4" s="2">
        <v>40.0</v>
      </c>
      <c r="L4" s="2">
        <v>25.0</v>
      </c>
      <c r="M4" s="2">
        <v>25.0</v>
      </c>
      <c r="N4" s="2">
        <v>25.0</v>
      </c>
      <c r="O4" s="2">
        <v>25.0</v>
      </c>
      <c r="P4" s="2">
        <v>15.0</v>
      </c>
      <c r="Q4" s="2">
        <f t="shared" si="1"/>
        <v>23.57142857</v>
      </c>
      <c r="R4" s="3"/>
      <c r="S4" s="3"/>
      <c r="T4" s="3"/>
    </row>
    <row r="5">
      <c r="A5" s="4"/>
      <c r="B5" s="4" t="s">
        <v>28</v>
      </c>
      <c r="C5" s="2">
        <v>10.0</v>
      </c>
      <c r="D5" s="2">
        <v>10.0</v>
      </c>
      <c r="E5" s="2">
        <v>20.0</v>
      </c>
      <c r="F5" s="2">
        <v>20.0</v>
      </c>
      <c r="G5" s="2">
        <v>20.0</v>
      </c>
      <c r="H5" s="2">
        <v>10.0</v>
      </c>
      <c r="I5" s="2">
        <v>10.0</v>
      </c>
      <c r="J5" s="2">
        <v>55.0</v>
      </c>
      <c r="K5" s="2">
        <v>10.0</v>
      </c>
      <c r="L5" s="2">
        <v>10.0</v>
      </c>
      <c r="M5" s="2">
        <v>10.0</v>
      </c>
      <c r="N5" s="2">
        <v>10.0</v>
      </c>
      <c r="O5" s="2">
        <v>10.0</v>
      </c>
      <c r="P5" s="2">
        <v>10.0</v>
      </c>
      <c r="Q5" s="2">
        <f t="shared" si="1"/>
        <v>15.35714286</v>
      </c>
      <c r="R5" s="2"/>
      <c r="S5" s="2"/>
    </row>
    <row r="6">
      <c r="A6" s="4"/>
      <c r="B6" s="4" t="s">
        <v>29</v>
      </c>
      <c r="C6" s="2">
        <v>0.0</v>
      </c>
      <c r="D6" s="2">
        <v>5.0</v>
      </c>
      <c r="E6" s="2">
        <v>5.0</v>
      </c>
      <c r="F6" s="2">
        <v>5.0</v>
      </c>
      <c r="G6" s="2">
        <v>10.0</v>
      </c>
      <c r="H6" s="2">
        <v>5.0</v>
      </c>
      <c r="I6" s="2">
        <v>10.0</v>
      </c>
      <c r="J6" s="2">
        <v>10.0</v>
      </c>
      <c r="K6" s="2">
        <v>25.0</v>
      </c>
      <c r="L6" s="2">
        <v>0.0</v>
      </c>
      <c r="M6" s="2">
        <v>0.0</v>
      </c>
      <c r="N6" s="2">
        <v>0.0</v>
      </c>
      <c r="O6" s="2">
        <v>5.0</v>
      </c>
      <c r="P6" s="2">
        <v>5.0</v>
      </c>
      <c r="Q6" s="2">
        <f t="shared" si="1"/>
        <v>6.071428571</v>
      </c>
      <c r="R6" s="2"/>
      <c r="S6" s="2"/>
      <c r="T6" s="2"/>
    </row>
    <row r="7">
      <c r="A7" s="4"/>
      <c r="B7" s="4" t="s">
        <v>30</v>
      </c>
      <c r="C7" s="2">
        <v>0.0</v>
      </c>
      <c r="D7" s="2">
        <v>195.0</v>
      </c>
      <c r="E7" s="2">
        <v>150.0</v>
      </c>
      <c r="F7" s="2">
        <v>60.0</v>
      </c>
      <c r="G7" s="2">
        <v>90.0</v>
      </c>
      <c r="H7" s="2">
        <v>75.0</v>
      </c>
      <c r="I7" s="2">
        <v>60.0</v>
      </c>
      <c r="J7" s="2">
        <v>60.0</v>
      </c>
      <c r="K7" s="2">
        <v>50.0</v>
      </c>
      <c r="L7" s="2">
        <v>45.0</v>
      </c>
      <c r="M7" s="2">
        <v>35.0</v>
      </c>
      <c r="N7" s="2">
        <v>45.0</v>
      </c>
      <c r="O7" s="2">
        <v>25.0</v>
      </c>
      <c r="P7" s="2">
        <v>35.0</v>
      </c>
      <c r="Q7" s="2">
        <f t="shared" si="1"/>
        <v>66.07142857</v>
      </c>
      <c r="R7" s="2"/>
      <c r="S7" s="2"/>
      <c r="T7" s="2"/>
    </row>
    <row r="8">
      <c r="A8" s="4"/>
      <c r="B8" s="4" t="s">
        <v>31</v>
      </c>
      <c r="C8" s="2">
        <v>15.0</v>
      </c>
      <c r="D8" s="2">
        <v>5.0</v>
      </c>
      <c r="E8" s="2">
        <v>5.0</v>
      </c>
      <c r="F8" s="2">
        <v>5.0</v>
      </c>
      <c r="G8" s="2">
        <v>5.0</v>
      </c>
      <c r="H8" s="2">
        <v>10.0</v>
      </c>
      <c r="I8" s="2">
        <v>10.0</v>
      </c>
      <c r="J8" s="2">
        <v>10.0</v>
      </c>
      <c r="K8" s="2">
        <v>5.0</v>
      </c>
      <c r="L8" s="2">
        <v>5.0</v>
      </c>
      <c r="M8" s="2">
        <v>5.0</v>
      </c>
      <c r="N8" s="2">
        <v>5.0</v>
      </c>
      <c r="O8" s="2">
        <v>5.0</v>
      </c>
      <c r="P8" s="2">
        <v>5.0</v>
      </c>
      <c r="Q8" s="2">
        <f t="shared" si="1"/>
        <v>6.785714286</v>
      </c>
      <c r="R8" s="2"/>
      <c r="S8" s="2"/>
      <c r="T8" s="2"/>
    </row>
    <row r="9">
      <c r="A9" s="4"/>
      <c r="B9" s="4" t="s">
        <v>32</v>
      </c>
      <c r="C9" s="2">
        <v>55.0</v>
      </c>
      <c r="D9" s="2">
        <v>75.0</v>
      </c>
      <c r="E9" s="2">
        <v>65.0</v>
      </c>
      <c r="F9" s="2">
        <v>45.0</v>
      </c>
      <c r="G9" s="2">
        <v>0.0</v>
      </c>
      <c r="H9" s="2">
        <v>50.0</v>
      </c>
      <c r="I9" s="2">
        <v>40.0</v>
      </c>
      <c r="J9" s="2">
        <v>45.0</v>
      </c>
      <c r="K9" s="2">
        <v>25.0</v>
      </c>
      <c r="L9" s="2">
        <v>35.0</v>
      </c>
      <c r="M9" s="2">
        <v>20.0</v>
      </c>
      <c r="N9" s="2">
        <v>15.0</v>
      </c>
      <c r="O9" s="2">
        <v>15.0</v>
      </c>
      <c r="P9" s="2">
        <v>0.0</v>
      </c>
      <c r="Q9" s="2">
        <f t="shared" si="1"/>
        <v>34.64285714</v>
      </c>
      <c r="R9" s="2"/>
      <c r="S9" s="2"/>
      <c r="T9" s="2"/>
    </row>
    <row r="10">
      <c r="A10" s="4"/>
      <c r="B10" s="4" t="s">
        <v>33</v>
      </c>
      <c r="C10" s="2">
        <v>35.0</v>
      </c>
      <c r="D10" s="2">
        <v>35.0</v>
      </c>
      <c r="E10" s="2">
        <v>20.0</v>
      </c>
      <c r="F10" s="2">
        <v>35.0</v>
      </c>
      <c r="G10" s="2">
        <v>45.0</v>
      </c>
      <c r="H10" s="2">
        <v>10.0</v>
      </c>
      <c r="I10" s="2">
        <v>25.0</v>
      </c>
      <c r="J10" s="2">
        <v>25.0</v>
      </c>
      <c r="K10" s="2">
        <v>25.0</v>
      </c>
      <c r="L10" s="2">
        <v>0.0</v>
      </c>
      <c r="M10" s="2">
        <v>0.0</v>
      </c>
      <c r="N10" s="2">
        <v>15.0</v>
      </c>
      <c r="O10" s="2">
        <v>30.0</v>
      </c>
      <c r="P10" s="2">
        <v>0.0</v>
      </c>
      <c r="Q10" s="2">
        <f t="shared" si="1"/>
        <v>21.42857143</v>
      </c>
      <c r="R10" s="2"/>
      <c r="S10" s="2"/>
      <c r="T10" s="2"/>
    </row>
    <row r="11">
      <c r="A11" s="4"/>
      <c r="B11" s="4" t="s">
        <v>34</v>
      </c>
      <c r="C11" s="2">
        <v>10.0</v>
      </c>
      <c r="D11" s="2">
        <v>10.0</v>
      </c>
      <c r="E11" s="2">
        <v>20.0</v>
      </c>
      <c r="F11" s="2">
        <v>10.0</v>
      </c>
      <c r="G11" s="2">
        <v>35.0</v>
      </c>
      <c r="H11" s="2">
        <v>10.0</v>
      </c>
      <c r="I11" s="2">
        <v>10.0</v>
      </c>
      <c r="J11" s="2">
        <v>10.0</v>
      </c>
      <c r="K11" s="2">
        <v>10.0</v>
      </c>
      <c r="L11" s="2">
        <v>10.0</v>
      </c>
      <c r="M11" s="2">
        <v>10.0</v>
      </c>
      <c r="N11" s="2">
        <v>10.0</v>
      </c>
      <c r="O11" s="2">
        <v>10.0</v>
      </c>
      <c r="P11" s="2">
        <v>10.0</v>
      </c>
      <c r="Q11" s="2">
        <f t="shared" si="1"/>
        <v>12.5</v>
      </c>
      <c r="R11" s="2"/>
      <c r="S11" s="2"/>
      <c r="T11" s="2"/>
    </row>
    <row r="12">
      <c r="A12" s="4"/>
      <c r="B12" s="4" t="s">
        <v>35</v>
      </c>
      <c r="C12" s="2">
        <v>15.0</v>
      </c>
      <c r="D12" s="2">
        <v>60.0</v>
      </c>
      <c r="E12" s="2">
        <v>25.0</v>
      </c>
      <c r="F12" s="2">
        <v>15.0</v>
      </c>
      <c r="G12" s="2">
        <v>15.0</v>
      </c>
      <c r="H12" s="2">
        <v>15.0</v>
      </c>
      <c r="I12" s="2">
        <v>15.0</v>
      </c>
      <c r="J12" s="2">
        <v>15.0</v>
      </c>
      <c r="K12" s="2">
        <v>15.0</v>
      </c>
      <c r="L12" s="2">
        <v>15.0</v>
      </c>
      <c r="M12" s="2">
        <v>15.0</v>
      </c>
      <c r="N12" s="2">
        <v>15.0</v>
      </c>
      <c r="O12" s="2">
        <v>15.0</v>
      </c>
      <c r="P12" s="2">
        <v>35.0</v>
      </c>
      <c r="Q12" s="2">
        <f t="shared" si="1"/>
        <v>20.35714286</v>
      </c>
      <c r="R12" s="2"/>
      <c r="S12" s="2"/>
      <c r="T12" s="2"/>
    </row>
    <row r="13">
      <c r="A13" s="4"/>
      <c r="B13" s="4" t="s">
        <v>36</v>
      </c>
      <c r="C13" s="2">
        <v>10.0</v>
      </c>
      <c r="D13" s="2">
        <v>10.0</v>
      </c>
      <c r="E13" s="2">
        <v>10.0</v>
      </c>
      <c r="F13" s="2">
        <v>10.0</v>
      </c>
      <c r="G13" s="2">
        <v>10.0</v>
      </c>
      <c r="H13" s="2">
        <v>10.0</v>
      </c>
      <c r="I13" s="2">
        <v>5.0</v>
      </c>
      <c r="J13" s="2">
        <v>5.0</v>
      </c>
      <c r="K13" s="2">
        <v>5.0</v>
      </c>
      <c r="L13" s="2">
        <v>5.0</v>
      </c>
      <c r="M13" s="2">
        <v>5.0</v>
      </c>
      <c r="N13" s="2">
        <v>0.0</v>
      </c>
      <c r="O13" s="2">
        <v>5.0</v>
      </c>
      <c r="P13" s="2">
        <v>5.0</v>
      </c>
      <c r="Q13" s="2">
        <f t="shared" si="1"/>
        <v>6.785714286</v>
      </c>
      <c r="R13" s="2"/>
      <c r="S13" s="2"/>
      <c r="T13" s="2"/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/>
      <c r="R14" s="2"/>
      <c r="S14" s="2"/>
      <c r="T14" s="2"/>
    </row>
    <row r="15">
      <c r="A15" s="3" t="s">
        <v>38</v>
      </c>
      <c r="C15" s="5">
        <f t="shared" ref="C15:P15" si="2">AVERAGEIF(C3:C13,"&lt;&gt;-1",C3:C13)</f>
        <v>14.54545455</v>
      </c>
      <c r="D15" s="5">
        <f t="shared" si="2"/>
        <v>38.63636364</v>
      </c>
      <c r="E15" s="5">
        <f t="shared" si="2"/>
        <v>31.81818182</v>
      </c>
      <c r="F15" s="5">
        <f t="shared" si="2"/>
        <v>22.27272727</v>
      </c>
      <c r="G15" s="5">
        <f t="shared" si="2"/>
        <v>23.18181818</v>
      </c>
      <c r="H15" s="5">
        <f t="shared" si="2"/>
        <v>21.36363636</v>
      </c>
      <c r="I15" s="5">
        <f t="shared" si="2"/>
        <v>18.63636364</v>
      </c>
      <c r="J15" s="5">
        <f t="shared" si="2"/>
        <v>24.09090909</v>
      </c>
      <c r="K15" s="5">
        <f t="shared" si="2"/>
        <v>19.54545455</v>
      </c>
      <c r="L15" s="5">
        <f t="shared" si="2"/>
        <v>14.09090909</v>
      </c>
      <c r="M15" s="5">
        <f t="shared" si="2"/>
        <v>11.81818182</v>
      </c>
      <c r="N15" s="5">
        <f t="shared" si="2"/>
        <v>13.18181818</v>
      </c>
      <c r="O15" s="5">
        <f t="shared" si="2"/>
        <v>15.45454545</v>
      </c>
      <c r="P15" s="5">
        <f t="shared" si="2"/>
        <v>14.09090909</v>
      </c>
      <c r="R15" s="2"/>
      <c r="S15" s="2"/>
      <c r="T15" s="2"/>
    </row>
    <row r="16"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D17" s="3"/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5.0</v>
      </c>
      <c r="D3" s="2">
        <v>5.0</v>
      </c>
      <c r="E3" s="2">
        <v>5.0</v>
      </c>
      <c r="F3" s="2">
        <v>5.0</v>
      </c>
      <c r="G3" s="2">
        <v>5.0</v>
      </c>
      <c r="H3" s="2">
        <v>5.0</v>
      </c>
      <c r="I3" s="2">
        <v>5.0</v>
      </c>
      <c r="J3" s="2">
        <v>10.0</v>
      </c>
      <c r="K3" s="2">
        <v>10.0</v>
      </c>
      <c r="L3" s="2">
        <v>5.0</v>
      </c>
      <c r="M3" s="2">
        <v>10.0</v>
      </c>
      <c r="N3" s="2">
        <v>15.0</v>
      </c>
      <c r="O3" s="2">
        <v>30.0</v>
      </c>
      <c r="P3" s="2">
        <v>15.0</v>
      </c>
      <c r="Q3" s="5">
        <f t="shared" ref="Q3:Q13" si="1">AVERAGEIF(B3:P3,"&lt;&gt;-1",B3:P13)</f>
        <v>9.285714286</v>
      </c>
    </row>
    <row r="4">
      <c r="A4" s="4"/>
      <c r="B4" s="4" t="s">
        <v>27</v>
      </c>
      <c r="C4" s="2">
        <v>5.0</v>
      </c>
      <c r="D4" s="2">
        <v>5.0</v>
      </c>
      <c r="E4" s="2">
        <v>5.0</v>
      </c>
      <c r="F4" s="2">
        <v>15.0</v>
      </c>
      <c r="G4" s="2">
        <v>15.0</v>
      </c>
      <c r="H4" s="2">
        <v>20.0</v>
      </c>
      <c r="I4" s="2">
        <v>0.0</v>
      </c>
      <c r="J4" s="2">
        <v>0.0</v>
      </c>
      <c r="K4" s="2">
        <v>35.0</v>
      </c>
      <c r="L4" s="2">
        <v>25.0</v>
      </c>
      <c r="M4" s="2">
        <v>0.0</v>
      </c>
      <c r="N4" s="2">
        <v>0.0</v>
      </c>
      <c r="O4" s="2">
        <v>20.0</v>
      </c>
      <c r="P4" s="2">
        <v>10.0</v>
      </c>
      <c r="Q4" s="2">
        <f t="shared" si="1"/>
        <v>11.07142857</v>
      </c>
    </row>
    <row r="5">
      <c r="A5" s="4"/>
      <c r="B5" s="4" t="s">
        <v>28</v>
      </c>
      <c r="C5" s="2">
        <v>10.0</v>
      </c>
      <c r="D5" s="2">
        <v>10.0</v>
      </c>
      <c r="E5" s="2">
        <v>20.0</v>
      </c>
      <c r="F5" s="2">
        <v>15.0</v>
      </c>
      <c r="G5" s="2">
        <v>50.0</v>
      </c>
      <c r="H5" s="2">
        <v>25.0</v>
      </c>
      <c r="I5" s="2">
        <v>0.0</v>
      </c>
      <c r="J5" s="2">
        <v>10.0</v>
      </c>
      <c r="K5" s="2">
        <v>20.0</v>
      </c>
      <c r="L5" s="2">
        <v>35.0</v>
      </c>
      <c r="M5" s="2">
        <v>0.0</v>
      </c>
      <c r="N5" s="2">
        <v>10.0</v>
      </c>
      <c r="O5" s="2">
        <v>20.0</v>
      </c>
      <c r="P5" s="2">
        <v>5.0</v>
      </c>
      <c r="Q5" s="2">
        <f t="shared" si="1"/>
        <v>16.42857143</v>
      </c>
    </row>
    <row r="6">
      <c r="A6" s="4"/>
      <c r="B6" s="4" t="s">
        <v>29</v>
      </c>
      <c r="C6" s="2">
        <v>5.0</v>
      </c>
      <c r="D6" s="2">
        <v>5.0</v>
      </c>
      <c r="E6" s="2">
        <v>5.0</v>
      </c>
      <c r="F6" s="2">
        <v>25.0</v>
      </c>
      <c r="G6" s="2">
        <v>25.0</v>
      </c>
      <c r="H6" s="2">
        <v>35.0</v>
      </c>
      <c r="I6" s="2">
        <v>0.0</v>
      </c>
      <c r="J6" s="2">
        <v>0.0</v>
      </c>
      <c r="K6" s="2">
        <v>5.0</v>
      </c>
      <c r="L6" s="2">
        <v>5.0</v>
      </c>
      <c r="M6" s="2">
        <v>0.0</v>
      </c>
      <c r="N6" s="2">
        <v>5.0</v>
      </c>
      <c r="O6" s="2">
        <v>5.0</v>
      </c>
      <c r="P6" s="2">
        <v>5.0</v>
      </c>
      <c r="Q6" s="2">
        <f t="shared" si="1"/>
        <v>8.928571429</v>
      </c>
    </row>
    <row r="7">
      <c r="A7" s="4"/>
      <c r="B7" s="4" t="s">
        <v>30</v>
      </c>
      <c r="C7" s="2">
        <v>120.0</v>
      </c>
      <c r="D7" s="2">
        <v>90.0</v>
      </c>
      <c r="E7" s="2">
        <v>60.0</v>
      </c>
      <c r="F7" s="2">
        <v>0.0</v>
      </c>
      <c r="G7" s="2">
        <v>0.0</v>
      </c>
      <c r="H7" s="2">
        <v>45.0</v>
      </c>
      <c r="I7" s="2">
        <v>60.0</v>
      </c>
      <c r="J7" s="2">
        <v>150.0</v>
      </c>
      <c r="K7" s="2">
        <v>90.0</v>
      </c>
      <c r="L7" s="2">
        <v>75.0</v>
      </c>
      <c r="M7" s="2">
        <v>60.0</v>
      </c>
      <c r="N7" s="2">
        <v>60.0</v>
      </c>
      <c r="O7" s="2">
        <v>35.0</v>
      </c>
      <c r="P7" s="2">
        <v>35.0</v>
      </c>
      <c r="Q7" s="2">
        <f t="shared" si="1"/>
        <v>62.85714286</v>
      </c>
    </row>
    <row r="8">
      <c r="A8" s="4"/>
      <c r="B8" s="4" t="s">
        <v>31</v>
      </c>
      <c r="C8" s="2">
        <v>5.0</v>
      </c>
      <c r="D8" s="2">
        <v>5.0</v>
      </c>
      <c r="E8" s="2">
        <v>5.0</v>
      </c>
      <c r="F8" s="2">
        <v>5.0</v>
      </c>
      <c r="G8" s="2">
        <v>5.0</v>
      </c>
      <c r="H8" s="2">
        <v>5.0</v>
      </c>
      <c r="I8" s="2">
        <v>0.0</v>
      </c>
      <c r="J8" s="2">
        <v>0.0</v>
      </c>
      <c r="K8" s="2">
        <v>5.0</v>
      </c>
      <c r="L8" s="2">
        <v>5.0</v>
      </c>
      <c r="M8" s="2">
        <v>0.0</v>
      </c>
      <c r="N8" s="2">
        <v>5.0</v>
      </c>
      <c r="O8" s="2">
        <v>5.0</v>
      </c>
      <c r="P8" s="2">
        <v>5.0</v>
      </c>
      <c r="Q8" s="2">
        <f t="shared" si="1"/>
        <v>3.928571429</v>
      </c>
    </row>
    <row r="9">
      <c r="A9" s="4"/>
      <c r="B9" s="4" t="s">
        <v>32</v>
      </c>
      <c r="C9" s="2">
        <v>45.0</v>
      </c>
      <c r="D9" s="2">
        <v>45.0</v>
      </c>
      <c r="E9" s="2">
        <v>60.0</v>
      </c>
      <c r="F9" s="2">
        <v>60.0</v>
      </c>
      <c r="G9" s="2">
        <v>35.0</v>
      </c>
      <c r="H9" s="2">
        <v>60.0</v>
      </c>
      <c r="I9" s="2">
        <v>45.0</v>
      </c>
      <c r="J9" s="2">
        <v>25.0</v>
      </c>
      <c r="K9" s="2">
        <v>0.0</v>
      </c>
      <c r="L9" s="2">
        <v>15.0</v>
      </c>
      <c r="M9" s="2">
        <v>15.0</v>
      </c>
      <c r="N9" s="2">
        <v>15.0</v>
      </c>
      <c r="O9" s="2">
        <v>15.0</v>
      </c>
      <c r="P9" s="2">
        <v>10.0</v>
      </c>
      <c r="Q9" s="2">
        <f t="shared" si="1"/>
        <v>31.78571429</v>
      </c>
    </row>
    <row r="10">
      <c r="A10" s="4"/>
      <c r="B10" s="4" t="s">
        <v>33</v>
      </c>
      <c r="C10" s="2">
        <v>25.0</v>
      </c>
      <c r="D10" s="2">
        <v>25.0</v>
      </c>
      <c r="E10" s="2">
        <v>35.0</v>
      </c>
      <c r="F10" s="2">
        <v>35.0</v>
      </c>
      <c r="G10" s="2">
        <v>15.0</v>
      </c>
      <c r="H10" s="2">
        <v>0.0</v>
      </c>
      <c r="I10" s="2">
        <v>0.0</v>
      </c>
      <c r="J10" s="2">
        <v>0.0</v>
      </c>
      <c r="K10" s="2">
        <v>35.0</v>
      </c>
      <c r="L10" s="2">
        <v>35.0</v>
      </c>
      <c r="M10" s="2">
        <v>0.0</v>
      </c>
      <c r="N10" s="2">
        <v>35.0</v>
      </c>
      <c r="O10" s="2">
        <v>10.0</v>
      </c>
      <c r="P10" s="2">
        <v>10.0</v>
      </c>
      <c r="Q10" s="2">
        <f t="shared" si="1"/>
        <v>18.57142857</v>
      </c>
    </row>
    <row r="11">
      <c r="A11" s="4"/>
      <c r="B11" s="4" t="s">
        <v>34</v>
      </c>
      <c r="C11" s="2">
        <v>10.0</v>
      </c>
      <c r="D11" s="2">
        <v>10.0</v>
      </c>
      <c r="E11" s="2">
        <v>10.0</v>
      </c>
      <c r="F11" s="2">
        <v>10.0</v>
      </c>
      <c r="G11" s="2">
        <v>10.0</v>
      </c>
      <c r="H11" s="2">
        <v>10.0</v>
      </c>
      <c r="I11" s="2">
        <v>10.0</v>
      </c>
      <c r="J11" s="2">
        <v>10.0</v>
      </c>
      <c r="K11" s="2">
        <v>10.0</v>
      </c>
      <c r="L11" s="2">
        <v>10.0</v>
      </c>
      <c r="M11" s="2">
        <v>10.0</v>
      </c>
      <c r="N11" s="2">
        <v>10.0</v>
      </c>
      <c r="O11" s="2">
        <v>10.0</v>
      </c>
      <c r="P11" s="2">
        <v>10.0</v>
      </c>
      <c r="Q11" s="2">
        <f t="shared" si="1"/>
        <v>10</v>
      </c>
    </row>
    <row r="12">
      <c r="A12" s="4"/>
      <c r="B12" s="4" t="s">
        <v>35</v>
      </c>
      <c r="C12" s="2">
        <v>10.0</v>
      </c>
      <c r="D12" s="2">
        <v>10.0</v>
      </c>
      <c r="E12" s="2">
        <v>0.0</v>
      </c>
      <c r="F12" s="2">
        <v>15.0</v>
      </c>
      <c r="G12" s="2">
        <v>15.0</v>
      </c>
      <c r="H12" s="2">
        <v>15.0</v>
      </c>
      <c r="I12" s="2">
        <v>0.0</v>
      </c>
      <c r="J12" s="2">
        <v>0.0</v>
      </c>
      <c r="K12" s="2">
        <v>15.0</v>
      </c>
      <c r="L12" s="2">
        <v>15.0</v>
      </c>
      <c r="M12" s="2">
        <v>0.0</v>
      </c>
      <c r="N12" s="2">
        <v>15.0</v>
      </c>
      <c r="O12" s="2">
        <v>25.0</v>
      </c>
      <c r="P12" s="2">
        <v>25.0</v>
      </c>
      <c r="Q12" s="2">
        <f t="shared" si="1"/>
        <v>11.42857143</v>
      </c>
    </row>
    <row r="13">
      <c r="A13" s="4"/>
      <c r="B13" s="4" t="s">
        <v>36</v>
      </c>
      <c r="C13" s="2">
        <v>5.0</v>
      </c>
      <c r="D13" s="2">
        <v>5.0</v>
      </c>
      <c r="E13" s="2">
        <v>15.0</v>
      </c>
      <c r="F13" s="2">
        <v>15.0</v>
      </c>
      <c r="G13" s="2">
        <v>10.0</v>
      </c>
      <c r="H13" s="2">
        <v>5.0</v>
      </c>
      <c r="I13" s="2">
        <v>0.0</v>
      </c>
      <c r="J13" s="2">
        <v>0.0</v>
      </c>
      <c r="K13" s="2">
        <v>15.0</v>
      </c>
      <c r="L13" s="2">
        <v>10.0</v>
      </c>
      <c r="M13" s="2">
        <v>0.0</v>
      </c>
      <c r="N13" s="2">
        <v>10.0</v>
      </c>
      <c r="O13" s="2">
        <v>10.0</v>
      </c>
      <c r="P13" s="2">
        <v>10.0</v>
      </c>
      <c r="Q13" s="2">
        <f t="shared" si="1"/>
        <v>7.857142857</v>
      </c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2.0</v>
      </c>
      <c r="J14" s="2">
        <v>2.0</v>
      </c>
      <c r="K14" s="2">
        <v>1.0</v>
      </c>
      <c r="L14" s="2">
        <v>1.0</v>
      </c>
      <c r="M14" s="2">
        <v>2.0</v>
      </c>
      <c r="N14" s="2">
        <v>0.0</v>
      </c>
      <c r="O14" s="2">
        <v>0.0</v>
      </c>
      <c r="P14" s="2">
        <v>0.0</v>
      </c>
    </row>
    <row r="15">
      <c r="A15" s="3" t="s">
        <v>38</v>
      </c>
      <c r="C15" s="5">
        <f t="shared" ref="C15:P15" si="2">AVERAGEIF(C3:C13,"&lt;&gt;-1",C3:C13)</f>
        <v>22.27272727</v>
      </c>
      <c r="D15" s="5">
        <f t="shared" si="2"/>
        <v>19.54545455</v>
      </c>
      <c r="E15" s="5">
        <f t="shared" si="2"/>
        <v>20</v>
      </c>
      <c r="F15" s="5">
        <f t="shared" si="2"/>
        <v>18.18181818</v>
      </c>
      <c r="G15" s="5">
        <f t="shared" si="2"/>
        <v>16.81818182</v>
      </c>
      <c r="H15" s="5">
        <f t="shared" si="2"/>
        <v>20.45454545</v>
      </c>
      <c r="I15" s="5">
        <f t="shared" si="2"/>
        <v>10.90909091</v>
      </c>
      <c r="J15" s="5">
        <f t="shared" si="2"/>
        <v>18.63636364</v>
      </c>
      <c r="K15" s="5">
        <f t="shared" si="2"/>
        <v>21.81818182</v>
      </c>
      <c r="L15" s="5">
        <f t="shared" si="2"/>
        <v>21.36363636</v>
      </c>
      <c r="M15" s="5">
        <f t="shared" si="2"/>
        <v>8.636363636</v>
      </c>
      <c r="N15" s="5">
        <f t="shared" si="2"/>
        <v>16.36363636</v>
      </c>
      <c r="O15" s="5">
        <f t="shared" si="2"/>
        <v>16.81818182</v>
      </c>
      <c r="P15" s="5">
        <f t="shared" si="2"/>
        <v>12.72727273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5.0</v>
      </c>
      <c r="D3" s="2">
        <v>5.0</v>
      </c>
      <c r="E3" s="2">
        <v>0.0</v>
      </c>
      <c r="F3" s="2">
        <v>5.0</v>
      </c>
      <c r="G3" s="2">
        <v>15.0</v>
      </c>
      <c r="H3" s="2">
        <v>25.0</v>
      </c>
      <c r="I3" s="2">
        <v>5.0</v>
      </c>
      <c r="J3" s="2">
        <v>10.0</v>
      </c>
      <c r="K3" s="2">
        <v>10.0</v>
      </c>
      <c r="L3" s="2">
        <v>35.0</v>
      </c>
      <c r="M3" s="2">
        <v>20.0</v>
      </c>
      <c r="N3" s="2">
        <v>35.0</v>
      </c>
      <c r="O3" s="2">
        <v>35.0</v>
      </c>
      <c r="P3" s="2">
        <v>20.0</v>
      </c>
      <c r="Q3" s="5">
        <f t="shared" ref="Q3:Q13" si="1">AVERAGEIF(B3:P3,"&lt;&gt;-1",B3:P13)</f>
        <v>16.07142857</v>
      </c>
    </row>
    <row r="4">
      <c r="A4" s="4"/>
      <c r="B4" s="4" t="s">
        <v>27</v>
      </c>
      <c r="C4" s="2">
        <v>5.0</v>
      </c>
      <c r="D4" s="2">
        <v>20.0</v>
      </c>
      <c r="E4" s="2">
        <v>25.0</v>
      </c>
      <c r="F4" s="2">
        <v>35.0</v>
      </c>
      <c r="G4" s="2">
        <v>35.0</v>
      </c>
      <c r="H4" s="2">
        <v>35.0</v>
      </c>
      <c r="I4" s="2">
        <v>25.0</v>
      </c>
      <c r="J4" s="2">
        <v>25.0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40.0</v>
      </c>
      <c r="Q4" s="2">
        <f t="shared" si="1"/>
        <v>17.5</v>
      </c>
    </row>
    <row r="5">
      <c r="A5" s="4"/>
      <c r="B5" s="4" t="s">
        <v>28</v>
      </c>
      <c r="C5" s="2">
        <v>5.0</v>
      </c>
      <c r="D5" s="2">
        <v>25.0</v>
      </c>
      <c r="E5" s="2">
        <v>35.0</v>
      </c>
      <c r="F5" s="2">
        <v>35.0</v>
      </c>
      <c r="G5" s="2">
        <v>55.0</v>
      </c>
      <c r="H5" s="2">
        <v>35.0</v>
      </c>
      <c r="I5" s="2">
        <v>50.0</v>
      </c>
      <c r="J5" s="2">
        <v>10.0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10.0</v>
      </c>
      <c r="Q5" s="2">
        <f t="shared" si="1"/>
        <v>18.57142857</v>
      </c>
    </row>
    <row r="6">
      <c r="A6" s="4"/>
      <c r="B6" s="4" t="s">
        <v>29</v>
      </c>
      <c r="C6" s="2">
        <v>5.0</v>
      </c>
      <c r="D6" s="2">
        <v>5.0</v>
      </c>
      <c r="E6" s="2">
        <v>10.0</v>
      </c>
      <c r="F6" s="2">
        <v>25.0</v>
      </c>
      <c r="G6" s="2">
        <v>0.0</v>
      </c>
      <c r="H6" s="2">
        <v>35.0</v>
      </c>
      <c r="I6" s="2">
        <v>25.0</v>
      </c>
      <c r="J6" s="2">
        <v>20.0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5.0</v>
      </c>
      <c r="Q6" s="2">
        <f t="shared" si="1"/>
        <v>9.285714286</v>
      </c>
    </row>
    <row r="7">
      <c r="A7" s="4"/>
      <c r="B7" s="4" t="s">
        <v>30</v>
      </c>
      <c r="C7" s="2">
        <v>75.0</v>
      </c>
      <c r="D7" s="2">
        <v>90.0</v>
      </c>
      <c r="E7" s="2">
        <v>90.0</v>
      </c>
      <c r="F7" s="2">
        <v>90.0</v>
      </c>
      <c r="G7" s="2">
        <v>90.0</v>
      </c>
      <c r="H7" s="2">
        <v>90.0</v>
      </c>
      <c r="I7" s="2">
        <v>120.0</v>
      </c>
      <c r="J7" s="2">
        <v>90.0</v>
      </c>
      <c r="K7" s="2">
        <v>100.0</v>
      </c>
      <c r="L7" s="2">
        <v>120.0</v>
      </c>
      <c r="M7" s="2">
        <v>90.0</v>
      </c>
      <c r="N7" s="2">
        <v>75.0</v>
      </c>
      <c r="O7" s="2">
        <v>75.0</v>
      </c>
      <c r="P7" s="2">
        <v>10.0</v>
      </c>
      <c r="Q7" s="2">
        <f t="shared" si="1"/>
        <v>86.07142857</v>
      </c>
    </row>
    <row r="8">
      <c r="A8" s="4"/>
      <c r="B8" s="4" t="s">
        <v>31</v>
      </c>
      <c r="C8" s="2">
        <v>5.0</v>
      </c>
      <c r="D8" s="2">
        <v>20.0</v>
      </c>
      <c r="E8" s="2">
        <v>20.0</v>
      </c>
      <c r="F8" s="2">
        <v>25.0</v>
      </c>
      <c r="G8" s="2">
        <v>40.0</v>
      </c>
      <c r="H8" s="2">
        <v>35.0</v>
      </c>
      <c r="I8" s="2">
        <v>0.0</v>
      </c>
      <c r="J8" s="2">
        <v>15.0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45.0</v>
      </c>
      <c r="Q8" s="2">
        <f t="shared" si="1"/>
        <v>14.64285714</v>
      </c>
    </row>
    <row r="9">
      <c r="A9" s="4"/>
      <c r="B9" s="4" t="s">
        <v>32</v>
      </c>
      <c r="C9" s="2">
        <v>60.0</v>
      </c>
      <c r="D9" s="2">
        <v>45.0</v>
      </c>
      <c r="E9" s="2">
        <v>75.0</v>
      </c>
      <c r="F9" s="2">
        <v>90.0</v>
      </c>
      <c r="G9" s="2">
        <v>50.0</v>
      </c>
      <c r="H9" s="2">
        <v>50.0</v>
      </c>
      <c r="I9" s="2">
        <v>50.0</v>
      </c>
      <c r="J9" s="2">
        <v>50.0</v>
      </c>
      <c r="K9" s="2">
        <v>50.0</v>
      </c>
      <c r="L9" s="2">
        <v>70.0</v>
      </c>
      <c r="M9" s="2">
        <v>25.0</v>
      </c>
      <c r="N9" s="2">
        <v>20.0</v>
      </c>
      <c r="O9" s="2">
        <v>20.0</v>
      </c>
      <c r="P9" s="2">
        <v>15.0</v>
      </c>
      <c r="Q9" s="2">
        <f t="shared" si="1"/>
        <v>47.85714286</v>
      </c>
    </row>
    <row r="10">
      <c r="A10" s="4"/>
      <c r="B10" s="4" t="s">
        <v>33</v>
      </c>
      <c r="C10" s="2">
        <v>45.0</v>
      </c>
      <c r="D10" s="2">
        <v>35.0</v>
      </c>
      <c r="E10" s="2">
        <v>55.0</v>
      </c>
      <c r="F10" s="2">
        <v>55.0</v>
      </c>
      <c r="G10" s="2">
        <v>55.0</v>
      </c>
      <c r="H10" s="2">
        <v>55.0</v>
      </c>
      <c r="I10" s="2">
        <v>45.0</v>
      </c>
      <c r="J10" s="2">
        <v>45.0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f t="shared" si="1"/>
        <v>27.85714286</v>
      </c>
    </row>
    <row r="11">
      <c r="A11" s="4"/>
      <c r="B11" s="4" t="s">
        <v>34</v>
      </c>
      <c r="C11" s="2">
        <v>15.0</v>
      </c>
      <c r="D11" s="2">
        <v>15.0</v>
      </c>
      <c r="E11" s="2">
        <v>15.0</v>
      </c>
      <c r="F11" s="2">
        <v>20.0</v>
      </c>
      <c r="G11" s="2">
        <v>20.0</v>
      </c>
      <c r="H11" s="2">
        <v>10.0</v>
      </c>
      <c r="I11" s="2">
        <v>35.0</v>
      </c>
      <c r="J11" s="2">
        <v>35.0</v>
      </c>
      <c r="K11" s="2">
        <v>20.0</v>
      </c>
      <c r="L11" s="2">
        <v>15.0</v>
      </c>
      <c r="M11" s="2">
        <v>10.0</v>
      </c>
      <c r="N11" s="2">
        <v>20.0</v>
      </c>
      <c r="O11" s="2">
        <v>20.0</v>
      </c>
      <c r="P11" s="2">
        <v>15.0</v>
      </c>
      <c r="Q11" s="2">
        <f t="shared" si="1"/>
        <v>18.92857143</v>
      </c>
    </row>
    <row r="12">
      <c r="A12" s="4"/>
      <c r="B12" s="4" t="s">
        <v>35</v>
      </c>
      <c r="C12" s="2">
        <v>15.0</v>
      </c>
      <c r="D12" s="2">
        <v>15.0</v>
      </c>
      <c r="E12" s="2">
        <v>15.0</v>
      </c>
      <c r="F12" s="2">
        <v>15.0</v>
      </c>
      <c r="G12" s="2">
        <v>15.0</v>
      </c>
      <c r="H12" s="2">
        <v>15.0</v>
      </c>
      <c r="I12" s="2">
        <v>15.0</v>
      </c>
      <c r="J12" s="2">
        <v>15.0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20.0</v>
      </c>
      <c r="Q12" s="2">
        <f t="shared" si="1"/>
        <v>10</v>
      </c>
    </row>
    <row r="13">
      <c r="A13" s="4"/>
      <c r="B13" s="4" t="s">
        <v>36</v>
      </c>
      <c r="C13" s="2">
        <v>0.0</v>
      </c>
      <c r="D13" s="2">
        <v>35.0</v>
      </c>
      <c r="E13" s="2">
        <v>35.0</v>
      </c>
      <c r="F13" s="2">
        <v>15.0</v>
      </c>
      <c r="G13" s="2">
        <v>0.0</v>
      </c>
      <c r="H13" s="2">
        <v>25.0</v>
      </c>
      <c r="I13" s="2">
        <v>35.0</v>
      </c>
      <c r="J13" s="2">
        <v>25.0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5.0</v>
      </c>
      <c r="Q13" s="2">
        <f t="shared" si="1"/>
        <v>12.5</v>
      </c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2.0</v>
      </c>
      <c r="L14" s="2">
        <v>2.0</v>
      </c>
      <c r="M14" s="2">
        <v>2.0</v>
      </c>
      <c r="N14" s="2">
        <v>2.0</v>
      </c>
      <c r="O14" s="2">
        <v>2.0</v>
      </c>
      <c r="P14" s="2">
        <v>0.0</v>
      </c>
    </row>
    <row r="15">
      <c r="A15" s="3" t="s">
        <v>38</v>
      </c>
      <c r="C15" s="5">
        <f t="shared" ref="C15:P15" si="2">AVERAGEIF(C3:C13,"&lt;&gt;-1",C3:C13)</f>
        <v>21.36363636</v>
      </c>
      <c r="D15" s="5">
        <f t="shared" si="2"/>
        <v>28.18181818</v>
      </c>
      <c r="E15" s="5">
        <f t="shared" si="2"/>
        <v>34.09090909</v>
      </c>
      <c r="F15" s="5">
        <f t="shared" si="2"/>
        <v>37.27272727</v>
      </c>
      <c r="G15" s="5">
        <f t="shared" si="2"/>
        <v>34.09090909</v>
      </c>
      <c r="H15" s="5">
        <f t="shared" si="2"/>
        <v>37.27272727</v>
      </c>
      <c r="I15" s="5">
        <f t="shared" si="2"/>
        <v>36.81818182</v>
      </c>
      <c r="J15" s="5">
        <f t="shared" si="2"/>
        <v>30.90909091</v>
      </c>
      <c r="K15" s="5">
        <f t="shared" si="2"/>
        <v>16.36363636</v>
      </c>
      <c r="L15" s="5">
        <f t="shared" si="2"/>
        <v>21.81818182</v>
      </c>
      <c r="M15" s="5">
        <f t="shared" si="2"/>
        <v>13.18181818</v>
      </c>
      <c r="N15" s="5">
        <f t="shared" si="2"/>
        <v>13.63636364</v>
      </c>
      <c r="O15" s="5">
        <f t="shared" si="2"/>
        <v>13.63636364</v>
      </c>
      <c r="P15" s="5">
        <f t="shared" si="2"/>
        <v>16.81818182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5.0</v>
      </c>
      <c r="D3" s="2">
        <v>5.0</v>
      </c>
      <c r="E3" s="2">
        <v>5.0</v>
      </c>
      <c r="F3" s="2">
        <v>10.0</v>
      </c>
      <c r="G3" s="2">
        <v>10.0</v>
      </c>
      <c r="H3" s="2">
        <v>5.0</v>
      </c>
      <c r="I3" s="2">
        <v>5.0</v>
      </c>
      <c r="J3" s="2">
        <v>5.0</v>
      </c>
      <c r="K3" s="2">
        <v>5.0</v>
      </c>
      <c r="L3" s="2">
        <v>10.0</v>
      </c>
      <c r="M3" s="2">
        <v>5.0</v>
      </c>
      <c r="N3" s="2">
        <v>10.0</v>
      </c>
      <c r="O3" s="2">
        <v>5.0</v>
      </c>
      <c r="P3" s="2">
        <v>20.0</v>
      </c>
      <c r="Q3" s="5">
        <f t="shared" ref="Q3:Q13" si="1">AVERAGEIF(B3:P3,"&lt;&gt;-1",B3:P13)</f>
        <v>7.5</v>
      </c>
    </row>
    <row r="4">
      <c r="A4" s="4"/>
      <c r="B4" s="4" t="s">
        <v>27</v>
      </c>
      <c r="C4" s="2">
        <v>5.0</v>
      </c>
      <c r="D4" s="2">
        <v>10.0</v>
      </c>
      <c r="E4" s="2">
        <v>15.0</v>
      </c>
      <c r="F4" s="2">
        <v>25.0</v>
      </c>
      <c r="G4" s="2">
        <v>25.0</v>
      </c>
      <c r="H4" s="2">
        <v>25.0</v>
      </c>
      <c r="I4" s="2">
        <v>45.0</v>
      </c>
      <c r="J4" s="2">
        <v>25.0</v>
      </c>
      <c r="K4" s="2">
        <v>15.0</v>
      </c>
      <c r="L4" s="2">
        <v>0.0</v>
      </c>
      <c r="M4" s="2">
        <v>25.0</v>
      </c>
      <c r="N4" s="2">
        <v>0.0</v>
      </c>
      <c r="O4" s="2">
        <v>0.0</v>
      </c>
      <c r="P4" s="2">
        <v>0.0</v>
      </c>
      <c r="Q4" s="2">
        <f t="shared" si="1"/>
        <v>15.35714286</v>
      </c>
    </row>
    <row r="5">
      <c r="A5" s="4"/>
      <c r="B5" s="4" t="s">
        <v>28</v>
      </c>
      <c r="C5" s="2">
        <v>10.0</v>
      </c>
      <c r="D5" s="2">
        <v>50.0</v>
      </c>
      <c r="E5" s="2">
        <v>45.0</v>
      </c>
      <c r="F5" s="2">
        <v>60.0</v>
      </c>
      <c r="G5" s="2">
        <v>45.0</v>
      </c>
      <c r="H5" s="2">
        <v>25.0</v>
      </c>
      <c r="I5" s="2">
        <v>50.0</v>
      </c>
      <c r="J5" s="2">
        <v>35.0</v>
      </c>
      <c r="K5" s="2">
        <v>25.0</v>
      </c>
      <c r="L5" s="2">
        <v>0.0</v>
      </c>
      <c r="M5" s="2">
        <v>10.0</v>
      </c>
      <c r="N5" s="2">
        <v>0.0</v>
      </c>
      <c r="O5" s="2">
        <v>0.0</v>
      </c>
      <c r="P5" s="2">
        <v>0.0</v>
      </c>
      <c r="Q5" s="2">
        <f t="shared" si="1"/>
        <v>25.35714286</v>
      </c>
    </row>
    <row r="6">
      <c r="A6" s="4"/>
      <c r="B6" s="4" t="s">
        <v>29</v>
      </c>
      <c r="C6" s="2">
        <v>0.0</v>
      </c>
      <c r="D6" s="2">
        <v>5.0</v>
      </c>
      <c r="E6" s="2">
        <v>0.0</v>
      </c>
      <c r="F6" s="2">
        <v>15.0</v>
      </c>
      <c r="G6" s="2">
        <v>15.0</v>
      </c>
      <c r="H6" s="2">
        <v>15.0</v>
      </c>
      <c r="I6" s="2">
        <v>15.0</v>
      </c>
      <c r="J6" s="2">
        <v>15.0</v>
      </c>
      <c r="K6" s="2">
        <v>5.0</v>
      </c>
      <c r="L6" s="2">
        <v>0.0</v>
      </c>
      <c r="M6" s="2">
        <v>5.0</v>
      </c>
      <c r="N6" s="2">
        <v>0.0</v>
      </c>
      <c r="O6" s="2">
        <v>0.0</v>
      </c>
      <c r="P6" s="2">
        <v>0.0</v>
      </c>
      <c r="Q6" s="2">
        <f t="shared" si="1"/>
        <v>6.428571429</v>
      </c>
    </row>
    <row r="7">
      <c r="A7" s="4"/>
      <c r="B7" s="4" t="s">
        <v>30</v>
      </c>
      <c r="C7" s="2">
        <v>0.0</v>
      </c>
      <c r="D7" s="2">
        <v>140.0</v>
      </c>
      <c r="E7" s="2">
        <v>100.0</v>
      </c>
      <c r="F7" s="2">
        <v>90.0</v>
      </c>
      <c r="G7" s="2">
        <v>75.0</v>
      </c>
      <c r="H7" s="2">
        <v>75.0</v>
      </c>
      <c r="I7" s="2">
        <v>90.0</v>
      </c>
      <c r="J7" s="2">
        <v>65.0</v>
      </c>
      <c r="K7" s="2">
        <v>70.0</v>
      </c>
      <c r="L7" s="2">
        <v>80.0</v>
      </c>
      <c r="M7" s="2">
        <v>40.0</v>
      </c>
      <c r="N7" s="2">
        <v>40.0</v>
      </c>
      <c r="O7" s="2">
        <v>40.0</v>
      </c>
      <c r="P7" s="2">
        <v>15.0</v>
      </c>
      <c r="Q7" s="2">
        <f t="shared" si="1"/>
        <v>65.71428571</v>
      </c>
    </row>
    <row r="8">
      <c r="A8" s="4"/>
      <c r="B8" s="4" t="s">
        <v>31</v>
      </c>
      <c r="C8" s="2">
        <v>0.0</v>
      </c>
      <c r="D8" s="2">
        <v>15.0</v>
      </c>
      <c r="E8" s="2">
        <v>10.0</v>
      </c>
      <c r="F8" s="2">
        <v>10.0</v>
      </c>
      <c r="G8" s="2">
        <v>10.0</v>
      </c>
      <c r="H8" s="2">
        <v>10.0</v>
      </c>
      <c r="I8" s="2">
        <v>10.0</v>
      </c>
      <c r="J8" s="2">
        <v>10.0</v>
      </c>
      <c r="K8" s="2">
        <v>10.0</v>
      </c>
      <c r="L8" s="2">
        <v>0.0</v>
      </c>
      <c r="M8" s="2">
        <v>15.0</v>
      </c>
      <c r="N8" s="2">
        <v>0.0</v>
      </c>
      <c r="O8" s="2">
        <v>0.0</v>
      </c>
      <c r="P8" s="2">
        <v>0.0</v>
      </c>
      <c r="Q8" s="2">
        <f t="shared" si="1"/>
        <v>7.142857143</v>
      </c>
    </row>
    <row r="9">
      <c r="A9" s="4"/>
      <c r="B9" s="4" t="s">
        <v>32</v>
      </c>
      <c r="C9" s="2">
        <v>0.0</v>
      </c>
      <c r="D9" s="2">
        <v>60.0</v>
      </c>
      <c r="E9" s="2">
        <v>0.0</v>
      </c>
      <c r="F9" s="2">
        <v>45.0</v>
      </c>
      <c r="G9" s="2">
        <v>45.0</v>
      </c>
      <c r="H9" s="2">
        <v>55.0</v>
      </c>
      <c r="I9" s="2">
        <v>0.0</v>
      </c>
      <c r="J9" s="2">
        <v>55.0</v>
      </c>
      <c r="K9" s="2">
        <v>50.0</v>
      </c>
      <c r="L9" s="2">
        <v>60.0</v>
      </c>
      <c r="M9" s="2">
        <v>25.0</v>
      </c>
      <c r="N9" s="2">
        <v>35.0</v>
      </c>
      <c r="O9" s="2">
        <v>15.0</v>
      </c>
      <c r="P9" s="2">
        <v>15.0</v>
      </c>
      <c r="Q9" s="2">
        <f t="shared" si="1"/>
        <v>32.85714286</v>
      </c>
    </row>
    <row r="10">
      <c r="A10" s="4"/>
      <c r="B10" s="4" t="s">
        <v>33</v>
      </c>
      <c r="C10" s="2">
        <v>0.0</v>
      </c>
      <c r="D10" s="2">
        <v>35.0</v>
      </c>
      <c r="E10" s="2">
        <v>65.0</v>
      </c>
      <c r="F10" s="2">
        <v>70.0</v>
      </c>
      <c r="G10" s="2">
        <v>55.0</v>
      </c>
      <c r="H10" s="2">
        <v>50.0</v>
      </c>
      <c r="I10" s="2">
        <v>40.0</v>
      </c>
      <c r="J10" s="2">
        <v>45.0</v>
      </c>
      <c r="K10" s="2">
        <v>45.0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f t="shared" si="1"/>
        <v>28.92857143</v>
      </c>
    </row>
    <row r="11">
      <c r="A11" s="4"/>
      <c r="B11" s="4" t="s">
        <v>34</v>
      </c>
      <c r="C11" s="2">
        <v>15.0</v>
      </c>
      <c r="D11" s="2">
        <v>15.0</v>
      </c>
      <c r="E11" s="2">
        <v>10.0</v>
      </c>
      <c r="F11" s="2">
        <v>10.0</v>
      </c>
      <c r="G11" s="2">
        <v>20.0</v>
      </c>
      <c r="H11" s="2">
        <v>25.0</v>
      </c>
      <c r="I11" s="2">
        <v>25.0</v>
      </c>
      <c r="J11" s="2">
        <v>15.0</v>
      </c>
      <c r="K11" s="2">
        <v>15.0</v>
      </c>
      <c r="L11" s="2">
        <v>35.0</v>
      </c>
      <c r="M11" s="2">
        <v>10.0</v>
      </c>
      <c r="N11" s="2">
        <v>15.0</v>
      </c>
      <c r="O11" s="2">
        <v>15.0</v>
      </c>
      <c r="P11" s="2">
        <v>15.0</v>
      </c>
      <c r="Q11" s="2">
        <f t="shared" si="1"/>
        <v>17.14285714</v>
      </c>
    </row>
    <row r="12">
      <c r="A12" s="4"/>
      <c r="B12" s="4" t="s">
        <v>35</v>
      </c>
      <c r="C12" s="2">
        <v>10.0</v>
      </c>
      <c r="D12" s="2">
        <v>10.0</v>
      </c>
      <c r="E12" s="2">
        <v>20.0</v>
      </c>
      <c r="F12" s="2">
        <v>25.0</v>
      </c>
      <c r="G12" s="2">
        <v>20.0</v>
      </c>
      <c r="H12" s="2">
        <v>10.0</v>
      </c>
      <c r="I12" s="2">
        <v>10.0</v>
      </c>
      <c r="J12" s="2">
        <v>15.0</v>
      </c>
      <c r="K12" s="2">
        <v>15.0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f t="shared" si="1"/>
        <v>9.642857143</v>
      </c>
    </row>
    <row r="13">
      <c r="A13" s="4"/>
      <c r="B13" s="4" t="s">
        <v>36</v>
      </c>
      <c r="C13" s="2">
        <v>10.0</v>
      </c>
      <c r="D13" s="2">
        <v>10.0</v>
      </c>
      <c r="E13" s="2">
        <v>40.0</v>
      </c>
      <c r="F13" s="2">
        <v>10.0</v>
      </c>
      <c r="G13" s="2">
        <v>10.0</v>
      </c>
      <c r="H13" s="2">
        <v>10.0</v>
      </c>
      <c r="I13" s="2">
        <v>10.0</v>
      </c>
      <c r="J13" s="2">
        <v>5.0</v>
      </c>
      <c r="K13" s="2">
        <v>5.0</v>
      </c>
      <c r="L13" s="2">
        <v>0.0</v>
      </c>
      <c r="M13" s="2">
        <v>5.0</v>
      </c>
      <c r="N13" s="2">
        <v>0.0</v>
      </c>
      <c r="O13" s="2">
        <v>0.0</v>
      </c>
      <c r="P13" s="2">
        <v>0.0</v>
      </c>
      <c r="Q13" s="2">
        <f t="shared" si="1"/>
        <v>8.214285714</v>
      </c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2.0</v>
      </c>
      <c r="M14" s="2">
        <v>2.0</v>
      </c>
      <c r="N14" s="2">
        <v>2.0</v>
      </c>
      <c r="O14" s="2">
        <v>2.0</v>
      </c>
      <c r="P14" s="2">
        <v>2.0</v>
      </c>
    </row>
    <row r="15">
      <c r="A15" s="3" t="s">
        <v>38</v>
      </c>
      <c r="C15" s="5">
        <f t="shared" ref="C15:P15" si="2">AVERAGEIF(C3:C13,"&lt;&gt;-1",C3:C13)</f>
        <v>5</v>
      </c>
      <c r="D15" s="5">
        <f t="shared" si="2"/>
        <v>32.27272727</v>
      </c>
      <c r="E15" s="5">
        <f t="shared" si="2"/>
        <v>28.18181818</v>
      </c>
      <c r="F15" s="5">
        <f t="shared" si="2"/>
        <v>33.63636364</v>
      </c>
      <c r="G15" s="5">
        <f t="shared" si="2"/>
        <v>30</v>
      </c>
      <c r="H15" s="5">
        <f t="shared" si="2"/>
        <v>27.72727273</v>
      </c>
      <c r="I15" s="5">
        <f t="shared" si="2"/>
        <v>27.27272727</v>
      </c>
      <c r="J15" s="5">
        <f t="shared" si="2"/>
        <v>26.36363636</v>
      </c>
      <c r="K15" s="5">
        <f t="shared" si="2"/>
        <v>23.63636364</v>
      </c>
      <c r="L15" s="5">
        <f t="shared" si="2"/>
        <v>16.81818182</v>
      </c>
      <c r="M15" s="5">
        <f t="shared" si="2"/>
        <v>12.72727273</v>
      </c>
      <c r="N15" s="5">
        <f t="shared" si="2"/>
        <v>9.090909091</v>
      </c>
      <c r="O15" s="5">
        <f t="shared" si="2"/>
        <v>6.818181818</v>
      </c>
      <c r="P15" s="5">
        <f t="shared" si="2"/>
        <v>5.909090909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5.0</v>
      </c>
      <c r="D3" s="2">
        <v>5.0</v>
      </c>
      <c r="E3" s="2">
        <v>5.0</v>
      </c>
      <c r="F3" s="2">
        <v>25.0</v>
      </c>
      <c r="G3" s="2">
        <v>10.0</v>
      </c>
      <c r="H3" s="2">
        <v>20.0</v>
      </c>
      <c r="I3" s="2">
        <v>20.0</v>
      </c>
      <c r="J3" s="2">
        <v>10.0</v>
      </c>
      <c r="K3" s="2">
        <v>15.0</v>
      </c>
      <c r="L3" s="2">
        <v>15.0</v>
      </c>
      <c r="M3" s="2">
        <v>10.0</v>
      </c>
      <c r="N3" s="2">
        <v>20.0</v>
      </c>
      <c r="O3" s="2">
        <v>0.0</v>
      </c>
      <c r="P3" s="2">
        <v>0.0</v>
      </c>
      <c r="Q3" s="5">
        <f t="shared" ref="Q3:Q13" si="1">AVERAGEIF(B3:P3,"&lt;&gt;-1",B3:P13)</f>
        <v>11.42857143</v>
      </c>
    </row>
    <row r="4">
      <c r="A4" s="4"/>
      <c r="B4" s="4" t="s">
        <v>27</v>
      </c>
      <c r="C4" s="2">
        <v>5.0</v>
      </c>
      <c r="D4" s="2">
        <v>45.0</v>
      </c>
      <c r="E4" s="2">
        <v>55.0</v>
      </c>
      <c r="F4" s="2">
        <v>75.0</v>
      </c>
      <c r="G4" s="2">
        <v>60.0</v>
      </c>
      <c r="H4" s="2">
        <v>60.0</v>
      </c>
      <c r="I4" s="2">
        <v>60.0</v>
      </c>
      <c r="J4" s="2">
        <v>60.0</v>
      </c>
      <c r="K4" s="2">
        <v>45.0</v>
      </c>
      <c r="L4" s="2">
        <v>45.0</v>
      </c>
      <c r="M4" s="2">
        <v>60.0</v>
      </c>
      <c r="N4" s="2">
        <v>0.0</v>
      </c>
      <c r="O4" s="2">
        <v>0.0</v>
      </c>
      <c r="P4" s="2">
        <v>0.0</v>
      </c>
      <c r="Q4" s="2">
        <f t="shared" si="1"/>
        <v>40.71428571</v>
      </c>
    </row>
    <row r="5">
      <c r="A5" s="4"/>
      <c r="B5" s="4" t="s">
        <v>28</v>
      </c>
      <c r="C5" s="2">
        <v>5.0</v>
      </c>
      <c r="D5" s="2">
        <v>55.0</v>
      </c>
      <c r="E5" s="2">
        <v>40.0</v>
      </c>
      <c r="F5" s="2">
        <v>50.0</v>
      </c>
      <c r="G5" s="2">
        <v>50.0</v>
      </c>
      <c r="H5" s="2">
        <v>45.0</v>
      </c>
      <c r="I5" s="2">
        <v>35.0</v>
      </c>
      <c r="J5" s="2">
        <v>35.0</v>
      </c>
      <c r="K5" s="2">
        <v>35.0</v>
      </c>
      <c r="L5" s="2">
        <v>35.0</v>
      </c>
      <c r="M5" s="2">
        <v>0.0</v>
      </c>
      <c r="N5" s="2">
        <v>0.0</v>
      </c>
      <c r="O5" s="2">
        <v>0.0</v>
      </c>
      <c r="P5" s="2">
        <v>0.0</v>
      </c>
      <c r="Q5" s="2">
        <f t="shared" si="1"/>
        <v>27.5</v>
      </c>
    </row>
    <row r="6">
      <c r="A6" s="4"/>
      <c r="B6" s="4" t="s">
        <v>29</v>
      </c>
      <c r="C6" s="2">
        <v>5.0</v>
      </c>
      <c r="D6" s="2">
        <v>45.0</v>
      </c>
      <c r="E6" s="2">
        <v>60.0</v>
      </c>
      <c r="F6" s="2">
        <v>60.0</v>
      </c>
      <c r="G6" s="2">
        <v>45.0</v>
      </c>
      <c r="H6" s="2">
        <v>25.0</v>
      </c>
      <c r="I6" s="2">
        <v>60.0</v>
      </c>
      <c r="J6" s="2">
        <v>15.0</v>
      </c>
      <c r="K6" s="2">
        <v>35.0</v>
      </c>
      <c r="L6" s="2">
        <v>35.0</v>
      </c>
      <c r="M6" s="2">
        <v>0.0</v>
      </c>
      <c r="N6" s="2">
        <v>0.0</v>
      </c>
      <c r="O6" s="2">
        <v>0.0</v>
      </c>
      <c r="P6" s="2">
        <v>0.0</v>
      </c>
      <c r="Q6" s="2">
        <f t="shared" si="1"/>
        <v>27.5</v>
      </c>
    </row>
    <row r="7">
      <c r="A7" s="4"/>
      <c r="B7" s="4" t="s">
        <v>30</v>
      </c>
      <c r="C7" s="2">
        <v>150.0</v>
      </c>
      <c r="D7" s="2">
        <v>150.0</v>
      </c>
      <c r="E7" s="2">
        <v>100.0</v>
      </c>
      <c r="F7" s="2">
        <v>120.0</v>
      </c>
      <c r="G7" s="2">
        <v>120.0</v>
      </c>
      <c r="H7" s="2">
        <v>150.0</v>
      </c>
      <c r="I7" s="2">
        <v>135.0</v>
      </c>
      <c r="J7" s="2">
        <v>0.0</v>
      </c>
      <c r="K7" s="2">
        <v>165.0</v>
      </c>
      <c r="L7" s="2">
        <v>165.0</v>
      </c>
      <c r="M7" s="2">
        <v>190.0</v>
      </c>
      <c r="N7" s="2">
        <v>300.0</v>
      </c>
      <c r="O7" s="2">
        <v>300.0</v>
      </c>
      <c r="P7" s="2">
        <v>300.0</v>
      </c>
      <c r="Q7" s="2">
        <f t="shared" si="1"/>
        <v>167.5</v>
      </c>
    </row>
    <row r="8">
      <c r="A8" s="4"/>
      <c r="B8" s="4" t="s">
        <v>31</v>
      </c>
      <c r="C8" s="2">
        <v>25.0</v>
      </c>
      <c r="D8" s="2">
        <v>40.0</v>
      </c>
      <c r="E8" s="2">
        <v>45.0</v>
      </c>
      <c r="F8" s="2">
        <v>60.0</v>
      </c>
      <c r="G8" s="2">
        <v>60.0</v>
      </c>
      <c r="H8" s="2">
        <v>35.0</v>
      </c>
      <c r="I8" s="2">
        <v>35.0</v>
      </c>
      <c r="J8" s="2">
        <v>40.0</v>
      </c>
      <c r="K8" s="2">
        <v>20.0</v>
      </c>
      <c r="L8" s="2">
        <v>20.0</v>
      </c>
      <c r="M8" s="2">
        <v>0.0</v>
      </c>
      <c r="N8" s="2">
        <v>0.0</v>
      </c>
      <c r="O8" s="2">
        <v>0.0</v>
      </c>
      <c r="P8" s="2">
        <v>0.0</v>
      </c>
      <c r="Q8" s="2">
        <f t="shared" si="1"/>
        <v>27.14285714</v>
      </c>
    </row>
    <row r="9">
      <c r="A9" s="4"/>
      <c r="B9" s="4" t="s">
        <v>32</v>
      </c>
      <c r="C9" s="2">
        <v>90.0</v>
      </c>
      <c r="D9" s="2">
        <v>115.0</v>
      </c>
      <c r="E9" s="2">
        <v>115.0</v>
      </c>
      <c r="F9" s="2">
        <v>90.0</v>
      </c>
      <c r="G9" s="2">
        <v>90.0</v>
      </c>
      <c r="H9" s="2">
        <v>110.0</v>
      </c>
      <c r="I9" s="2">
        <v>90.0</v>
      </c>
      <c r="J9" s="2">
        <v>90.0</v>
      </c>
      <c r="K9" s="2">
        <v>105.0</v>
      </c>
      <c r="L9" s="2">
        <v>105.0</v>
      </c>
      <c r="M9" s="2">
        <v>60.0</v>
      </c>
      <c r="N9" s="2">
        <v>95.0</v>
      </c>
      <c r="O9" s="2">
        <v>40.0</v>
      </c>
      <c r="P9" s="2">
        <v>30.0</v>
      </c>
      <c r="Q9" s="2">
        <f t="shared" si="1"/>
        <v>87.5</v>
      </c>
    </row>
    <row r="10">
      <c r="A10" s="4"/>
      <c r="B10" s="4" t="s">
        <v>33</v>
      </c>
      <c r="C10" s="2">
        <v>120.0</v>
      </c>
      <c r="D10" s="2">
        <v>50.0</v>
      </c>
      <c r="E10" s="2">
        <v>0.0</v>
      </c>
      <c r="F10" s="2">
        <v>55.0</v>
      </c>
      <c r="G10" s="2">
        <v>60.0</v>
      </c>
      <c r="H10" s="2">
        <v>65.0</v>
      </c>
      <c r="I10" s="2">
        <v>65.0</v>
      </c>
      <c r="J10" s="2">
        <v>75.0</v>
      </c>
      <c r="K10" s="2">
        <v>55.0</v>
      </c>
      <c r="L10" s="2">
        <v>55.0</v>
      </c>
      <c r="M10" s="2">
        <v>0.0</v>
      </c>
      <c r="N10" s="2">
        <v>0.0</v>
      </c>
      <c r="O10" s="2">
        <v>0.0</v>
      </c>
      <c r="P10" s="2">
        <v>0.0</v>
      </c>
      <c r="Q10" s="2">
        <f t="shared" si="1"/>
        <v>42.85714286</v>
      </c>
    </row>
    <row r="11">
      <c r="A11" s="4"/>
      <c r="B11" s="4" t="s">
        <v>34</v>
      </c>
      <c r="C11" s="2">
        <v>0.0</v>
      </c>
      <c r="D11" s="2">
        <v>35.0</v>
      </c>
      <c r="E11" s="2">
        <v>25.0</v>
      </c>
      <c r="F11" s="2">
        <v>35.0</v>
      </c>
      <c r="G11" s="2">
        <v>25.0</v>
      </c>
      <c r="H11" s="2">
        <v>15.0</v>
      </c>
      <c r="I11" s="2">
        <v>15.0</v>
      </c>
      <c r="J11" s="2">
        <v>10.0</v>
      </c>
      <c r="K11" s="2">
        <v>10.0</v>
      </c>
      <c r="L11" s="2">
        <v>10.0</v>
      </c>
      <c r="M11" s="2">
        <v>10.0</v>
      </c>
      <c r="N11" s="2">
        <v>20.0</v>
      </c>
      <c r="O11" s="2">
        <v>10.0</v>
      </c>
      <c r="P11" s="2">
        <v>10.0</v>
      </c>
      <c r="Q11" s="2">
        <f t="shared" si="1"/>
        <v>16.42857143</v>
      </c>
    </row>
    <row r="12">
      <c r="A12" s="4"/>
      <c r="B12" s="4" t="s">
        <v>35</v>
      </c>
      <c r="C12" s="2">
        <v>35.0</v>
      </c>
      <c r="D12" s="2">
        <v>35.0</v>
      </c>
      <c r="E12" s="2">
        <v>45.0</v>
      </c>
      <c r="F12" s="2">
        <v>25.0</v>
      </c>
      <c r="G12" s="2">
        <v>35.0</v>
      </c>
      <c r="H12" s="2">
        <v>35.0</v>
      </c>
      <c r="I12" s="2">
        <v>15.0</v>
      </c>
      <c r="J12" s="2">
        <v>15.0</v>
      </c>
      <c r="K12" s="2">
        <v>25.0</v>
      </c>
      <c r="L12" s="2">
        <v>25.0</v>
      </c>
      <c r="M12" s="2">
        <v>0.0</v>
      </c>
      <c r="N12" s="2">
        <v>0.0</v>
      </c>
      <c r="O12" s="2">
        <v>0.0</v>
      </c>
      <c r="P12" s="2">
        <v>0.0</v>
      </c>
      <c r="Q12" s="2">
        <f t="shared" si="1"/>
        <v>20.71428571</v>
      </c>
    </row>
    <row r="13">
      <c r="A13" s="4"/>
      <c r="B13" s="4" t="s">
        <v>36</v>
      </c>
      <c r="C13" s="2">
        <v>0.0</v>
      </c>
      <c r="D13" s="2">
        <v>35.0</v>
      </c>
      <c r="E13" s="2">
        <v>50.0</v>
      </c>
      <c r="F13" s="2">
        <v>0.0</v>
      </c>
      <c r="G13" s="2">
        <v>15.0</v>
      </c>
      <c r="H13" s="2">
        <v>50.0</v>
      </c>
      <c r="I13" s="2">
        <v>30.0</v>
      </c>
      <c r="J13" s="2">
        <v>30.0</v>
      </c>
      <c r="K13" s="2">
        <v>45.0</v>
      </c>
      <c r="L13" s="2">
        <v>45.0</v>
      </c>
      <c r="M13" s="2">
        <v>0.0</v>
      </c>
      <c r="N13" s="2">
        <v>0.0</v>
      </c>
      <c r="O13" s="2">
        <v>0.0</v>
      </c>
      <c r="P13" s="2">
        <v>0.0</v>
      </c>
      <c r="Q13" s="2">
        <f t="shared" si="1"/>
        <v>21.42857143</v>
      </c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2.0</v>
      </c>
      <c r="N14" s="2">
        <v>2.0</v>
      </c>
      <c r="O14" s="2">
        <v>2.0</v>
      </c>
      <c r="P14" s="2">
        <v>2.0</v>
      </c>
    </row>
    <row r="15">
      <c r="A15" s="3" t="s">
        <v>38</v>
      </c>
      <c r="C15" s="5">
        <f t="shared" ref="C15:P15" si="2">AVERAGEIF(C3:C13,"&lt;&gt;-1",C3:C13)</f>
        <v>40</v>
      </c>
      <c r="D15" s="5">
        <f t="shared" si="2"/>
        <v>55.45454545</v>
      </c>
      <c r="E15" s="5">
        <f t="shared" si="2"/>
        <v>49.09090909</v>
      </c>
      <c r="F15" s="5">
        <f t="shared" si="2"/>
        <v>54.09090909</v>
      </c>
      <c r="G15" s="5">
        <f t="shared" si="2"/>
        <v>51.81818182</v>
      </c>
      <c r="H15" s="5">
        <f t="shared" si="2"/>
        <v>55.45454545</v>
      </c>
      <c r="I15" s="5">
        <f t="shared" si="2"/>
        <v>50.90909091</v>
      </c>
      <c r="J15" s="5">
        <f t="shared" si="2"/>
        <v>34.54545455</v>
      </c>
      <c r="K15" s="5">
        <f t="shared" si="2"/>
        <v>50.45454545</v>
      </c>
      <c r="L15" s="5">
        <f t="shared" si="2"/>
        <v>50.45454545</v>
      </c>
      <c r="M15" s="5">
        <f t="shared" si="2"/>
        <v>30</v>
      </c>
      <c r="N15" s="5">
        <f t="shared" si="2"/>
        <v>39.54545455</v>
      </c>
      <c r="O15" s="5">
        <f t="shared" si="2"/>
        <v>31.81818182</v>
      </c>
      <c r="P15" s="5">
        <f t="shared" si="2"/>
        <v>30.90909091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10.0</v>
      </c>
      <c r="D3" s="2">
        <v>10.0</v>
      </c>
      <c r="E3" s="2">
        <v>35.0</v>
      </c>
      <c r="F3" s="2">
        <v>45.0</v>
      </c>
      <c r="G3" s="2">
        <v>25.0</v>
      </c>
      <c r="H3" s="2">
        <v>25.0</v>
      </c>
      <c r="I3" s="2">
        <v>25.0</v>
      </c>
      <c r="J3" s="2">
        <v>25.0</v>
      </c>
      <c r="K3" s="2">
        <v>20.0</v>
      </c>
      <c r="L3" s="2">
        <v>35.0</v>
      </c>
      <c r="M3" s="2">
        <v>20.0</v>
      </c>
      <c r="N3" s="2">
        <v>20.0</v>
      </c>
      <c r="O3" s="2">
        <v>30.0</v>
      </c>
      <c r="P3" s="2">
        <v>35.0</v>
      </c>
      <c r="Q3" s="5">
        <f t="shared" ref="Q3:Q13" si="1">AVERAGEIF(B3:P3,"&lt;&gt;-1",B3:P13)</f>
        <v>25.71428571</v>
      </c>
    </row>
    <row r="4">
      <c r="A4" s="4"/>
      <c r="B4" s="4" t="s">
        <v>27</v>
      </c>
      <c r="C4" s="2">
        <v>40.0</v>
      </c>
      <c r="D4" s="2">
        <v>40.0</v>
      </c>
      <c r="E4" s="2">
        <v>70.0</v>
      </c>
      <c r="F4" s="2">
        <v>70.0</v>
      </c>
      <c r="G4" s="2">
        <v>90.0</v>
      </c>
      <c r="H4" s="2">
        <v>75.0</v>
      </c>
      <c r="I4" s="2">
        <v>80.0</v>
      </c>
      <c r="J4" s="2">
        <v>80.0</v>
      </c>
      <c r="K4" s="2">
        <v>60.0</v>
      </c>
      <c r="L4" s="2">
        <v>70.0</v>
      </c>
      <c r="M4" s="2">
        <v>80.0</v>
      </c>
      <c r="N4" s="2">
        <v>60.0</v>
      </c>
      <c r="O4" s="2">
        <v>40.0</v>
      </c>
      <c r="P4" s="2">
        <v>45.0</v>
      </c>
      <c r="Q4" s="2">
        <f t="shared" si="1"/>
        <v>64.28571429</v>
      </c>
    </row>
    <row r="5">
      <c r="A5" s="4"/>
      <c r="B5" s="4" t="s">
        <v>28</v>
      </c>
      <c r="C5" s="2">
        <v>15.0</v>
      </c>
      <c r="D5" s="2">
        <v>75.0</v>
      </c>
      <c r="E5" s="2">
        <v>75.0</v>
      </c>
      <c r="F5" s="2">
        <v>60.0</v>
      </c>
      <c r="G5" s="2">
        <v>45.0</v>
      </c>
      <c r="H5" s="2">
        <v>65.0</v>
      </c>
      <c r="I5" s="2">
        <v>25.0</v>
      </c>
      <c r="J5" s="2">
        <v>60.0</v>
      </c>
      <c r="K5" s="2">
        <v>25.0</v>
      </c>
      <c r="L5" s="2">
        <v>35.0</v>
      </c>
      <c r="M5" s="2">
        <v>65.0</v>
      </c>
      <c r="N5" s="2">
        <v>45.0</v>
      </c>
      <c r="O5" s="2">
        <v>15.0</v>
      </c>
      <c r="P5" s="2">
        <v>10.0</v>
      </c>
      <c r="Q5" s="2">
        <f t="shared" si="1"/>
        <v>43.92857143</v>
      </c>
    </row>
    <row r="6">
      <c r="A6" s="4"/>
      <c r="B6" s="4" t="s">
        <v>29</v>
      </c>
      <c r="C6" s="2">
        <v>5.0</v>
      </c>
      <c r="D6" s="2">
        <v>45.0</v>
      </c>
      <c r="E6" s="2">
        <v>55.0</v>
      </c>
      <c r="F6" s="2">
        <v>55.0</v>
      </c>
      <c r="G6" s="2">
        <v>80.0</v>
      </c>
      <c r="H6" s="2">
        <v>35.0</v>
      </c>
      <c r="I6" s="2">
        <v>75.0</v>
      </c>
      <c r="J6" s="2">
        <v>35.0</v>
      </c>
      <c r="K6" s="2">
        <v>35.0</v>
      </c>
      <c r="L6" s="2">
        <v>40.0</v>
      </c>
      <c r="M6" s="2">
        <v>25.0</v>
      </c>
      <c r="N6" s="2">
        <v>30.0</v>
      </c>
      <c r="O6" s="2">
        <v>10.0</v>
      </c>
      <c r="P6" s="2">
        <v>5.0</v>
      </c>
      <c r="Q6" s="2">
        <f t="shared" si="1"/>
        <v>37.85714286</v>
      </c>
    </row>
    <row r="7">
      <c r="A7" s="4"/>
      <c r="B7" s="4" t="s">
        <v>30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180.0</v>
      </c>
      <c r="I7" s="2">
        <v>220.0</v>
      </c>
      <c r="J7" s="2">
        <v>305.0</v>
      </c>
      <c r="K7" s="2">
        <v>200.0</v>
      </c>
      <c r="L7" s="2">
        <v>210.0</v>
      </c>
      <c r="M7" s="2">
        <v>240.0</v>
      </c>
      <c r="N7" s="2">
        <v>300.0</v>
      </c>
      <c r="O7" s="2">
        <v>300.0</v>
      </c>
      <c r="P7" s="2">
        <v>300.0</v>
      </c>
      <c r="Q7" s="2">
        <f t="shared" si="1"/>
        <v>161.0714286</v>
      </c>
    </row>
    <row r="8">
      <c r="A8" s="4"/>
      <c r="B8" s="4" t="s">
        <v>31</v>
      </c>
      <c r="C8" s="2">
        <v>10.0</v>
      </c>
      <c r="D8" s="2">
        <v>75.0</v>
      </c>
      <c r="E8" s="2">
        <v>85.0</v>
      </c>
      <c r="F8" s="2">
        <v>85.0</v>
      </c>
      <c r="G8" s="2">
        <v>0.0</v>
      </c>
      <c r="H8" s="2">
        <v>65.0</v>
      </c>
      <c r="I8" s="2">
        <v>50.0</v>
      </c>
      <c r="J8" s="2">
        <v>50.0</v>
      </c>
      <c r="K8" s="2">
        <v>40.0</v>
      </c>
      <c r="L8" s="2">
        <v>40.0</v>
      </c>
      <c r="M8" s="2">
        <v>50.0</v>
      </c>
      <c r="N8" s="2">
        <v>30.0</v>
      </c>
      <c r="O8" s="2">
        <v>25.0</v>
      </c>
      <c r="P8" s="2">
        <v>10.0</v>
      </c>
      <c r="Q8" s="2">
        <f t="shared" si="1"/>
        <v>43.92857143</v>
      </c>
    </row>
    <row r="9">
      <c r="A9" s="4"/>
      <c r="B9" s="4" t="s">
        <v>32</v>
      </c>
      <c r="C9" s="2">
        <v>110.0</v>
      </c>
      <c r="D9" s="2">
        <v>120.0</v>
      </c>
      <c r="E9" s="2">
        <v>180.0</v>
      </c>
      <c r="F9" s="2">
        <v>180.0</v>
      </c>
      <c r="G9" s="2">
        <v>180.0</v>
      </c>
      <c r="H9" s="2">
        <v>150.0</v>
      </c>
      <c r="I9" s="2">
        <v>90.0</v>
      </c>
      <c r="J9" s="2">
        <v>150.0</v>
      </c>
      <c r="K9" s="2">
        <v>90.0</v>
      </c>
      <c r="L9" s="2">
        <v>0.0</v>
      </c>
      <c r="M9" s="2">
        <v>65.0</v>
      </c>
      <c r="N9" s="2">
        <v>60.0</v>
      </c>
      <c r="O9" s="2">
        <v>60.0</v>
      </c>
      <c r="P9" s="2">
        <v>50.0</v>
      </c>
      <c r="Q9" s="2">
        <f t="shared" si="1"/>
        <v>106.0714286</v>
      </c>
    </row>
    <row r="10">
      <c r="A10" s="4"/>
      <c r="B10" s="4" t="s">
        <v>33</v>
      </c>
      <c r="C10" s="2">
        <v>65.0</v>
      </c>
      <c r="D10" s="2">
        <v>120.0</v>
      </c>
      <c r="E10" s="2">
        <v>120.0</v>
      </c>
      <c r="F10" s="2">
        <v>100.0</v>
      </c>
      <c r="G10" s="2">
        <v>0.0</v>
      </c>
      <c r="H10" s="2">
        <v>120.0</v>
      </c>
      <c r="I10" s="2">
        <v>85.0</v>
      </c>
      <c r="J10" s="2">
        <v>80.0</v>
      </c>
      <c r="K10" s="2">
        <v>100.0</v>
      </c>
      <c r="L10" s="2">
        <v>90.0</v>
      </c>
      <c r="M10" s="2">
        <v>85.0</v>
      </c>
      <c r="N10" s="2">
        <v>75.0</v>
      </c>
      <c r="O10" s="2">
        <v>60.0</v>
      </c>
      <c r="P10" s="2">
        <v>35.0</v>
      </c>
      <c r="Q10" s="2">
        <f t="shared" si="1"/>
        <v>81.07142857</v>
      </c>
    </row>
    <row r="11">
      <c r="A11" s="4"/>
      <c r="B11" s="4" t="s">
        <v>34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80.0</v>
      </c>
      <c r="I11" s="2">
        <v>90.0</v>
      </c>
      <c r="J11" s="2">
        <v>90.0</v>
      </c>
      <c r="K11" s="2">
        <v>60.0</v>
      </c>
      <c r="L11" s="2">
        <v>45.0</v>
      </c>
      <c r="M11" s="2">
        <v>60.0</v>
      </c>
      <c r="N11" s="2">
        <v>50.0</v>
      </c>
      <c r="O11" s="2">
        <v>45.0</v>
      </c>
      <c r="P11" s="2">
        <v>20.0</v>
      </c>
      <c r="Q11" s="2">
        <f t="shared" si="1"/>
        <v>38.57142857</v>
      </c>
    </row>
    <row r="12">
      <c r="A12" s="4"/>
      <c r="B12" s="4" t="s">
        <v>35</v>
      </c>
      <c r="C12" s="2">
        <v>10.0</v>
      </c>
      <c r="D12" s="2">
        <v>60.0</v>
      </c>
      <c r="E12" s="2">
        <v>90.0</v>
      </c>
      <c r="F12" s="2">
        <v>90.0</v>
      </c>
      <c r="G12" s="2">
        <v>0.0</v>
      </c>
      <c r="H12" s="2">
        <v>60.0</v>
      </c>
      <c r="I12" s="2">
        <v>45.0</v>
      </c>
      <c r="J12" s="2">
        <v>35.0</v>
      </c>
      <c r="K12" s="2">
        <v>45.0</v>
      </c>
      <c r="L12" s="2">
        <v>45.0</v>
      </c>
      <c r="M12" s="2">
        <v>35.0</v>
      </c>
      <c r="N12" s="2">
        <v>36.0</v>
      </c>
      <c r="O12" s="2">
        <v>35.0</v>
      </c>
      <c r="P12" s="2">
        <v>25.0</v>
      </c>
      <c r="Q12" s="2">
        <f t="shared" si="1"/>
        <v>43.64285714</v>
      </c>
    </row>
    <row r="13">
      <c r="A13" s="4"/>
      <c r="B13" s="4" t="s">
        <v>36</v>
      </c>
      <c r="C13" s="2">
        <v>20.0</v>
      </c>
      <c r="D13" s="2">
        <v>55.0</v>
      </c>
      <c r="E13" s="2">
        <v>90.0</v>
      </c>
      <c r="F13" s="2">
        <v>75.0</v>
      </c>
      <c r="G13" s="2">
        <v>70.0</v>
      </c>
      <c r="H13" s="2">
        <v>45.0</v>
      </c>
      <c r="I13" s="2">
        <v>35.0</v>
      </c>
      <c r="J13" s="2">
        <v>45.0</v>
      </c>
      <c r="K13" s="2">
        <v>30.0</v>
      </c>
      <c r="L13" s="2">
        <v>40.0</v>
      </c>
      <c r="M13" s="2">
        <v>30.0</v>
      </c>
      <c r="N13" s="2">
        <v>26.0</v>
      </c>
      <c r="O13" s="2">
        <v>25.0</v>
      </c>
      <c r="P13" s="2">
        <v>10.0</v>
      </c>
      <c r="Q13" s="2">
        <f t="shared" si="1"/>
        <v>42.57142857</v>
      </c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</row>
    <row r="15">
      <c r="A15" s="3" t="s">
        <v>38</v>
      </c>
      <c r="C15" s="5">
        <f t="shared" ref="C15:P15" si="2">AVERAGEIF(C3:C13,"&lt;&gt;-1",C3:C13)</f>
        <v>25.90909091</v>
      </c>
      <c r="D15" s="5">
        <f t="shared" si="2"/>
        <v>54.54545455</v>
      </c>
      <c r="E15" s="5">
        <f t="shared" si="2"/>
        <v>72.72727273</v>
      </c>
      <c r="F15" s="5">
        <f t="shared" si="2"/>
        <v>69.09090909</v>
      </c>
      <c r="G15" s="5">
        <f t="shared" si="2"/>
        <v>44.54545455</v>
      </c>
      <c r="H15" s="5">
        <f t="shared" si="2"/>
        <v>81.81818182</v>
      </c>
      <c r="I15" s="5">
        <f t="shared" si="2"/>
        <v>74.54545455</v>
      </c>
      <c r="J15" s="5">
        <f t="shared" si="2"/>
        <v>86.81818182</v>
      </c>
      <c r="K15" s="5">
        <f t="shared" si="2"/>
        <v>64.09090909</v>
      </c>
      <c r="L15" s="5">
        <f t="shared" si="2"/>
        <v>59.09090909</v>
      </c>
      <c r="M15" s="5">
        <f t="shared" si="2"/>
        <v>68.63636364</v>
      </c>
      <c r="N15" s="5">
        <f t="shared" si="2"/>
        <v>66.54545455</v>
      </c>
      <c r="O15" s="5">
        <f t="shared" si="2"/>
        <v>58.63636364</v>
      </c>
      <c r="P15" s="5">
        <f t="shared" si="2"/>
        <v>49.54545455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Q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Q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Q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Q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Q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Q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Q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Q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Q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Q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5" t="s">
        <v>25</v>
      </c>
    </row>
    <row r="3">
      <c r="A3" s="4"/>
      <c r="B3" s="4" t="s">
        <v>26</v>
      </c>
      <c r="C3" s="2">
        <v>5.0</v>
      </c>
      <c r="D3" s="2">
        <v>5.0</v>
      </c>
      <c r="E3" s="2">
        <v>25.0</v>
      </c>
      <c r="F3" s="2">
        <v>25.0</v>
      </c>
      <c r="G3" s="2">
        <v>15.0</v>
      </c>
      <c r="H3" s="2">
        <v>35.0</v>
      </c>
      <c r="I3" s="2">
        <v>20.0</v>
      </c>
      <c r="J3" s="2">
        <v>10.0</v>
      </c>
      <c r="K3" s="2">
        <v>10.0</v>
      </c>
      <c r="L3" s="2">
        <v>20.0</v>
      </c>
      <c r="M3" s="2">
        <v>35.0</v>
      </c>
      <c r="N3" s="2">
        <v>30.0</v>
      </c>
      <c r="O3" s="2">
        <v>30.0</v>
      </c>
      <c r="P3" s="2">
        <v>30.0</v>
      </c>
      <c r="Q3" s="5">
        <f t="shared" ref="Q3:Q13" si="1">AVERAGEIF(B3:P3,"&lt;&gt;-1",B3:P13)</f>
        <v>21.07142857</v>
      </c>
    </row>
    <row r="4">
      <c r="A4" s="4"/>
      <c r="B4" s="4" t="s">
        <v>27</v>
      </c>
      <c r="C4" s="2">
        <v>20.0</v>
      </c>
      <c r="D4" s="2">
        <v>45.0</v>
      </c>
      <c r="E4" s="2">
        <v>80.0</v>
      </c>
      <c r="F4" s="2">
        <v>80.0</v>
      </c>
      <c r="G4" s="2">
        <v>70.0</v>
      </c>
      <c r="H4" s="2">
        <v>50.0</v>
      </c>
      <c r="I4" s="2">
        <v>80.0</v>
      </c>
      <c r="J4" s="2">
        <v>70.0</v>
      </c>
      <c r="K4" s="2">
        <v>70.0</v>
      </c>
      <c r="L4" s="2">
        <v>70.0</v>
      </c>
      <c r="M4" s="2">
        <v>0.0</v>
      </c>
      <c r="N4" s="2">
        <v>0.0</v>
      </c>
      <c r="O4" s="2">
        <v>60.0</v>
      </c>
      <c r="P4" s="2">
        <v>30.0</v>
      </c>
      <c r="Q4" s="2">
        <f t="shared" si="1"/>
        <v>51.78571429</v>
      </c>
      <c r="R4" s="2"/>
    </row>
    <row r="5">
      <c r="A5" s="4"/>
      <c r="B5" s="4" t="s">
        <v>28</v>
      </c>
      <c r="C5" s="2">
        <v>15.0</v>
      </c>
      <c r="D5" s="2">
        <v>55.0</v>
      </c>
      <c r="E5" s="2">
        <v>45.0</v>
      </c>
      <c r="F5" s="2">
        <v>45.0</v>
      </c>
      <c r="G5" s="2">
        <v>45.0</v>
      </c>
      <c r="H5" s="2">
        <v>35.0</v>
      </c>
      <c r="I5" s="2">
        <v>45.0</v>
      </c>
      <c r="J5" s="2">
        <v>15.0</v>
      </c>
      <c r="K5" s="2">
        <v>60.0</v>
      </c>
      <c r="L5" s="2">
        <v>35.0</v>
      </c>
      <c r="M5" s="2">
        <v>0.0</v>
      </c>
      <c r="N5" s="2">
        <v>0.0</v>
      </c>
      <c r="O5" s="2">
        <v>10.0</v>
      </c>
      <c r="P5" s="2">
        <v>25.0</v>
      </c>
      <c r="Q5" s="2">
        <f t="shared" si="1"/>
        <v>30.71428571</v>
      </c>
      <c r="R5" s="2"/>
    </row>
    <row r="6">
      <c r="A6" s="4"/>
      <c r="B6" s="4" t="s">
        <v>29</v>
      </c>
      <c r="C6" s="2">
        <v>5.0</v>
      </c>
      <c r="D6" s="2">
        <v>45.0</v>
      </c>
      <c r="E6" s="2">
        <v>15.0</v>
      </c>
      <c r="F6" s="2">
        <v>60.0</v>
      </c>
      <c r="G6" s="2">
        <v>60.0</v>
      </c>
      <c r="H6" s="2">
        <v>0.0</v>
      </c>
      <c r="I6" s="2">
        <v>0.0</v>
      </c>
      <c r="J6" s="2">
        <v>0.0</v>
      </c>
      <c r="K6" s="2">
        <v>10.0</v>
      </c>
      <c r="L6" s="2">
        <v>70.0</v>
      </c>
      <c r="M6" s="2">
        <v>0.0</v>
      </c>
      <c r="N6" s="2">
        <v>0.0</v>
      </c>
      <c r="O6" s="2">
        <v>5.0</v>
      </c>
      <c r="P6" s="2">
        <v>5.0</v>
      </c>
      <c r="Q6" s="2">
        <f t="shared" si="1"/>
        <v>19.64285714</v>
      </c>
      <c r="R6" s="2"/>
    </row>
    <row r="7">
      <c r="A7" s="4"/>
      <c r="B7" s="4" t="s">
        <v>30</v>
      </c>
      <c r="C7" s="2">
        <v>230.0</v>
      </c>
      <c r="D7" s="2">
        <v>300.0</v>
      </c>
      <c r="E7" s="2">
        <v>270.0</v>
      </c>
      <c r="F7" s="2">
        <v>270.0</v>
      </c>
      <c r="G7" s="2">
        <v>180.0</v>
      </c>
      <c r="H7" s="2">
        <v>180.0</v>
      </c>
      <c r="I7" s="2">
        <v>150.0</v>
      </c>
      <c r="J7" s="2">
        <v>150.0</v>
      </c>
      <c r="K7" s="2">
        <v>180.0</v>
      </c>
      <c r="L7" s="2">
        <v>0.0</v>
      </c>
      <c r="M7" s="2">
        <v>180.0</v>
      </c>
      <c r="N7" s="2">
        <v>180.0</v>
      </c>
      <c r="O7" s="2">
        <v>300.0</v>
      </c>
      <c r="P7" s="2">
        <v>300.0</v>
      </c>
      <c r="Q7" s="2">
        <f t="shared" si="1"/>
        <v>205</v>
      </c>
      <c r="R7" s="2"/>
    </row>
    <row r="8">
      <c r="A8" s="4"/>
      <c r="B8" s="4" t="s">
        <v>31</v>
      </c>
      <c r="C8" s="2">
        <v>20.0</v>
      </c>
      <c r="D8" s="2">
        <v>45.0</v>
      </c>
      <c r="E8" s="2">
        <v>45.0</v>
      </c>
      <c r="F8" s="2">
        <v>60.0</v>
      </c>
      <c r="G8" s="2">
        <v>60.0</v>
      </c>
      <c r="H8" s="2">
        <v>60.0</v>
      </c>
      <c r="I8" s="2">
        <v>50.0</v>
      </c>
      <c r="J8" s="2">
        <v>35.0</v>
      </c>
      <c r="K8" s="2">
        <v>0.0</v>
      </c>
      <c r="L8" s="2">
        <v>0.0</v>
      </c>
      <c r="M8" s="2">
        <v>0.0</v>
      </c>
      <c r="N8" s="2">
        <v>0.0</v>
      </c>
      <c r="O8" s="2">
        <v>25.0</v>
      </c>
      <c r="P8" s="2">
        <v>25.0</v>
      </c>
      <c r="Q8" s="2">
        <f t="shared" si="1"/>
        <v>30.35714286</v>
      </c>
      <c r="R8" s="2"/>
    </row>
    <row r="9">
      <c r="A9" s="4"/>
      <c r="B9" s="4" t="s">
        <v>32</v>
      </c>
      <c r="C9" s="2">
        <v>25.0</v>
      </c>
      <c r="D9" s="2">
        <v>135.0</v>
      </c>
      <c r="E9" s="2">
        <v>115.0</v>
      </c>
      <c r="F9" s="2">
        <v>150.0</v>
      </c>
      <c r="G9" s="2">
        <v>140.0</v>
      </c>
      <c r="H9" s="2">
        <v>90.0</v>
      </c>
      <c r="I9" s="2">
        <v>75.0</v>
      </c>
      <c r="J9" s="2">
        <v>160.0</v>
      </c>
      <c r="K9" s="2">
        <v>100.0</v>
      </c>
      <c r="L9" s="2">
        <v>100.0</v>
      </c>
      <c r="M9" s="2">
        <v>75.0</v>
      </c>
      <c r="N9" s="2">
        <v>60.0</v>
      </c>
      <c r="O9" s="2">
        <v>60.0</v>
      </c>
      <c r="P9" s="2">
        <v>15.0</v>
      </c>
      <c r="Q9" s="2">
        <f t="shared" si="1"/>
        <v>92.85714286</v>
      </c>
      <c r="R9" s="2"/>
    </row>
    <row r="10">
      <c r="A10" s="4"/>
      <c r="B10" s="4" t="s">
        <v>33</v>
      </c>
      <c r="C10" s="2">
        <v>0.0</v>
      </c>
      <c r="D10" s="2">
        <v>45.0</v>
      </c>
      <c r="E10" s="2">
        <v>105.0</v>
      </c>
      <c r="F10" s="2">
        <v>80.0</v>
      </c>
      <c r="G10" s="2">
        <v>95.0</v>
      </c>
      <c r="H10" s="2">
        <v>95.0</v>
      </c>
      <c r="I10" s="2">
        <v>80.0</v>
      </c>
      <c r="J10" s="2">
        <v>80.0</v>
      </c>
      <c r="K10" s="2">
        <v>80.0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f t="shared" si="1"/>
        <v>47.14285714</v>
      </c>
      <c r="R10" s="2"/>
    </row>
    <row r="11">
      <c r="A11" s="4"/>
      <c r="B11" s="4" t="s">
        <v>34</v>
      </c>
      <c r="C11" s="2">
        <v>35.0</v>
      </c>
      <c r="D11" s="2">
        <v>20.0</v>
      </c>
      <c r="E11" s="2">
        <v>20.0</v>
      </c>
      <c r="F11" s="2">
        <v>25.0</v>
      </c>
      <c r="G11" s="2">
        <v>45.0</v>
      </c>
      <c r="H11" s="2">
        <v>25.0</v>
      </c>
      <c r="I11" s="2">
        <v>45.0</v>
      </c>
      <c r="J11" s="2">
        <v>15.0</v>
      </c>
      <c r="K11" s="2">
        <v>20.0</v>
      </c>
      <c r="L11" s="2">
        <v>20.0</v>
      </c>
      <c r="M11" s="2">
        <v>15.0</v>
      </c>
      <c r="N11" s="2">
        <v>10.0</v>
      </c>
      <c r="O11" s="2">
        <v>10.0</v>
      </c>
      <c r="P11" s="2">
        <v>10.0</v>
      </c>
      <c r="Q11" s="2">
        <f t="shared" si="1"/>
        <v>22.5</v>
      </c>
      <c r="R11" s="2"/>
    </row>
    <row r="12">
      <c r="A12" s="4"/>
      <c r="B12" s="4" t="s">
        <v>35</v>
      </c>
      <c r="C12" s="2">
        <v>35.0</v>
      </c>
      <c r="D12" s="2">
        <v>60.0</v>
      </c>
      <c r="E12" s="2">
        <v>50.0</v>
      </c>
      <c r="F12" s="2">
        <v>45.0</v>
      </c>
      <c r="G12" s="2">
        <v>60.0</v>
      </c>
      <c r="H12" s="2">
        <v>0.0</v>
      </c>
      <c r="I12" s="2">
        <v>0.0</v>
      </c>
      <c r="J12" s="2">
        <v>45.0</v>
      </c>
      <c r="K12" s="2">
        <v>35.0</v>
      </c>
      <c r="L12" s="2">
        <v>60.0</v>
      </c>
      <c r="M12" s="2">
        <v>0.0</v>
      </c>
      <c r="N12" s="2">
        <v>0.0</v>
      </c>
      <c r="O12" s="2">
        <v>25.0</v>
      </c>
      <c r="P12" s="2">
        <v>60.0</v>
      </c>
      <c r="Q12" s="2">
        <f t="shared" si="1"/>
        <v>33.92857143</v>
      </c>
      <c r="R12" s="2"/>
    </row>
    <row r="13">
      <c r="A13" s="4"/>
      <c r="B13" s="4" t="s">
        <v>36</v>
      </c>
      <c r="C13" s="2">
        <v>0.0</v>
      </c>
      <c r="D13" s="2">
        <v>50.0</v>
      </c>
      <c r="E13" s="2">
        <v>90.0</v>
      </c>
      <c r="F13" s="2">
        <v>45.0</v>
      </c>
      <c r="G13" s="2">
        <v>45.0</v>
      </c>
      <c r="H13" s="2">
        <v>70.0</v>
      </c>
      <c r="I13" s="2">
        <v>50.0</v>
      </c>
      <c r="J13" s="2">
        <v>35.0</v>
      </c>
      <c r="K13" s="2">
        <v>50.0</v>
      </c>
      <c r="L13" s="2">
        <v>35.0</v>
      </c>
      <c r="M13" s="2">
        <v>0.0</v>
      </c>
      <c r="N13" s="2">
        <v>0.0</v>
      </c>
      <c r="O13" s="2">
        <v>0.0</v>
      </c>
      <c r="P13" s="2">
        <v>0.0</v>
      </c>
      <c r="Q13" s="2">
        <f t="shared" si="1"/>
        <v>33.57142857</v>
      </c>
      <c r="R13" s="2"/>
    </row>
    <row r="14">
      <c r="B14" s="3" t="s">
        <v>37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2.0</v>
      </c>
      <c r="N14" s="2">
        <v>2.0</v>
      </c>
      <c r="O14" s="2">
        <v>2.0</v>
      </c>
      <c r="P14" s="2">
        <v>0.0</v>
      </c>
    </row>
    <row r="15">
      <c r="A15" s="3" t="s">
        <v>38</v>
      </c>
      <c r="C15" s="5">
        <f t="shared" ref="C15:P15" si="2">AVERAGEIF(C3:C13,"&lt;&gt;-1",C3:C13)</f>
        <v>35.45454545</v>
      </c>
      <c r="D15" s="5">
        <f t="shared" si="2"/>
        <v>73.18181818</v>
      </c>
      <c r="E15" s="5">
        <f t="shared" si="2"/>
        <v>78.18181818</v>
      </c>
      <c r="F15" s="5">
        <f t="shared" si="2"/>
        <v>80.45454545</v>
      </c>
      <c r="G15" s="5">
        <f t="shared" si="2"/>
        <v>74.09090909</v>
      </c>
      <c r="H15" s="5">
        <f t="shared" si="2"/>
        <v>58.18181818</v>
      </c>
      <c r="I15" s="5">
        <f t="shared" si="2"/>
        <v>54.09090909</v>
      </c>
      <c r="J15" s="5">
        <f t="shared" si="2"/>
        <v>55.90909091</v>
      </c>
      <c r="K15" s="5">
        <f t="shared" si="2"/>
        <v>55.90909091</v>
      </c>
      <c r="L15" s="5">
        <f t="shared" si="2"/>
        <v>37.27272727</v>
      </c>
      <c r="M15" s="5">
        <f t="shared" si="2"/>
        <v>27.72727273</v>
      </c>
      <c r="N15" s="5">
        <f t="shared" si="2"/>
        <v>25.45454545</v>
      </c>
      <c r="O15" s="5">
        <f t="shared" si="2"/>
        <v>47.72727273</v>
      </c>
      <c r="P15" s="5">
        <f t="shared" si="2"/>
        <v>45.45454545</v>
      </c>
    </row>
  </sheetData>
  <conditionalFormatting sqref="A1:Q13">
    <cfRule type="cellIs" dxfId="0" priority="1" operator="equal">
      <formula>0</formula>
    </cfRule>
  </conditionalFormatting>
  <conditionalFormatting sqref="Q3:Q13 C15:P1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R13">
    <cfRule type="cellIs" dxfId="0" priority="3" operator="equal">
      <formula>-1</formula>
    </cfRule>
  </conditionalFormatting>
  <conditionalFormatting sqref="C4:R4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R5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R6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R7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R8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:R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:R9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R10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R11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Q12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R1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Q3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Q1" s="3"/>
    </row>
    <row r="2">
      <c r="A2" s="3" t="s">
        <v>39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R2" s="3" t="s">
        <v>40</v>
      </c>
      <c r="S2" s="3"/>
      <c r="T2" s="3" t="s">
        <v>41</v>
      </c>
      <c r="V2" s="3" t="s">
        <v>42</v>
      </c>
    </row>
    <row r="3">
      <c r="A3" s="4"/>
      <c r="B3" s="4" t="s">
        <v>26</v>
      </c>
      <c r="C3" s="2">
        <f>IFERROR(__xludf.DUMMYFUNCTION("AVERAGE(FILTER({'527'!C3,'528'!C3,'529'!C3}, {'527'!C3,'528'!C3,'529'!C3} &lt;&gt;0))"),6.666666666666667)</f>
        <v>6.666666667</v>
      </c>
      <c r="D3" s="2">
        <f>IFERROR(__xludf.DUMMYFUNCTION("AVERAGE(FILTER({'527'!D3,'528'!D3,'529'!D3}, {'527'!D3,'528'!D3,'529'!D3} &lt;&gt;0))"),6.666666666666667)</f>
        <v>6.666666667</v>
      </c>
      <c r="E3" s="2">
        <f>IFERROR(__xludf.DUMMYFUNCTION("AVERAGE(FILTER({'527'!E3,'528'!E3,'529'!E3}, {'527'!E3,'528'!E3,'529'!E3} &lt;&gt;0))"),21.666666666666668)</f>
        <v>21.66666667</v>
      </c>
      <c r="F3" s="2">
        <f>IFERROR(__xludf.DUMMYFUNCTION("AVERAGE(FILTER({'527'!F3,'528'!F3,'529'!F3}, {'527'!F3,'528'!F3,'529'!F3} &lt;&gt;0))"),31.666666666666668)</f>
        <v>31.66666667</v>
      </c>
      <c r="G3" s="2">
        <f>IFERROR(__xludf.DUMMYFUNCTION("AVERAGE(FILTER({'527'!G3,'528'!G3,'529'!G3}, {'527'!G3,'528'!G3,'529'!G3} &lt;&gt;0))"),16.666666666666668)</f>
        <v>16.66666667</v>
      </c>
      <c r="H3" s="2">
        <f>IFERROR(__xludf.DUMMYFUNCTION("AVERAGE(FILTER({'527'!H3,'528'!H3,'529'!H3}, {'527'!H3,'528'!H3,'529'!H3} &lt;&gt;0))"),26.666666666666668)</f>
        <v>26.66666667</v>
      </c>
      <c r="I3" s="2">
        <f>IFERROR(__xludf.DUMMYFUNCTION("AVERAGE(FILTER({'527'!I3,'528'!I3,'529'!I3}, {'527'!I3,'528'!I3,'529'!I3} &lt;&gt;0))"),21.666666666666668)</f>
        <v>21.66666667</v>
      </c>
      <c r="J3" s="2">
        <f>IFERROR(__xludf.DUMMYFUNCTION("AVERAGE(FILTER({'527'!J3,'528'!J3,'529'!J3}, {'527'!J3,'528'!J3,'529'!J3} &lt;&gt;0))"),15.0)</f>
        <v>15</v>
      </c>
      <c r="K3" s="2">
        <f>IFERROR(__xludf.DUMMYFUNCTION("AVERAGE(FILTER({'527'!K3,'528'!K3,'529'!K3}, {'527'!K3,'528'!K3,'529'!K3} &lt;&gt;0))"),15.0)</f>
        <v>15</v>
      </c>
      <c r="L3" s="2">
        <f>IFERROR(__xludf.DUMMYFUNCTION("AVERAGE(FILTER({'527'!L3,'528'!L3,'529'!L3}, {'527'!L3,'528'!L3,'529'!L3} &lt;&gt;0))"),23.333333333333332)</f>
        <v>23.33333333</v>
      </c>
      <c r="M3" s="2">
        <f>IFERROR(__xludf.DUMMYFUNCTION("AVERAGE(FILTER({'527'!M3,'528'!M3,'529'!M3}, {'527'!M3,'528'!M3,'529'!M3} &lt;&gt;0))"),21.666666666666668)</f>
        <v>21.66666667</v>
      </c>
      <c r="N3" s="2">
        <f>IFERROR(__xludf.DUMMYFUNCTION("AVERAGE(FILTER({'527'!N3,'528'!N3,'529'!N3}, {'527'!N3,'528'!N3,'529'!N3} &lt;&gt;0))"),23.333333333333332)</f>
        <v>23.33333333</v>
      </c>
      <c r="O3" s="2">
        <f>IFERROR(__xludf.DUMMYFUNCTION("AVERAGE(FILTER({'527'!O3,'528'!O3,'529'!O3}, {'527'!O3,'528'!O3,'529'!O3} &lt;&gt;0))"),30.0)</f>
        <v>30</v>
      </c>
      <c r="P3" s="2">
        <f>IFERROR(__xludf.DUMMYFUNCTION("AVERAGE(FILTER({'527'!P3,'528'!P3,'529'!P3}, {'527'!P3,'528'!P3,'529'!P3} &lt;&gt;0))"),32.5)</f>
        <v>32.5</v>
      </c>
      <c r="R3" s="6">
        <f>IFERROR(__xludf.DUMMYFUNCTION("COUNT(FILTER({'522'!C3:P3,'523'!C3:P3,'524'!C3:P3,'525'!C3:P3,'526'!C3:P3,'527'!C3:P3,'528'!C3:P3,'529'!C3:P3}, {'522'!C3:P3,'523'!C3:P3,'524'!C3:P3,'525'!C3:P3,'526'!C3:P3,'527'!C3:P3,'528'!C3:P3,'529'!C3:P3} =0))"),3.0)</f>
        <v>3</v>
      </c>
      <c r="S3" s="6"/>
      <c r="T3" s="6">
        <v>3.0</v>
      </c>
      <c r="V3" s="7">
        <v>45799.0</v>
      </c>
      <c r="W3" s="5">
        <f>SUM('522'!C4:P14)</f>
        <v>2945</v>
      </c>
    </row>
    <row r="4">
      <c r="A4" s="4"/>
      <c r="B4" s="4" t="s">
        <v>27</v>
      </c>
      <c r="C4" s="2">
        <f>IFERROR(__xludf.DUMMYFUNCTION("AVERAGE(FILTER({'527'!C4,'528'!C4,'529'!C4}, {'527'!C4,'528'!C4,'529'!C4} &lt;&gt;0))"),21.666666666666668)</f>
        <v>21.66666667</v>
      </c>
      <c r="D4" s="2">
        <f>IFERROR(__xludf.DUMMYFUNCTION("AVERAGE(FILTER({'527'!D4,'528'!D4,'529'!D4}, {'527'!D4,'528'!D4,'529'!D4} &lt;&gt;0))"),43.333333333333336)</f>
        <v>43.33333333</v>
      </c>
      <c r="E4" s="2">
        <f>IFERROR(__xludf.DUMMYFUNCTION("AVERAGE(FILTER({'527'!E4,'528'!E4,'529'!E4}, {'527'!E4,'528'!E4,'529'!E4} &lt;&gt;0))"),68.33333333333333)</f>
        <v>68.33333333</v>
      </c>
      <c r="F4" s="2">
        <f>IFERROR(__xludf.DUMMYFUNCTION("AVERAGE(FILTER({'527'!F4,'528'!F4,'529'!F4}, {'527'!F4,'528'!F4,'529'!F4} &lt;&gt;0))"),75.0)</f>
        <v>75</v>
      </c>
      <c r="G4" s="2">
        <f>IFERROR(__xludf.DUMMYFUNCTION("AVERAGE(FILTER({'527'!G4,'528'!G4,'529'!G4}, {'527'!G4,'528'!G4,'529'!G4} &lt;&gt;0))"),73.33333333333333)</f>
        <v>73.33333333</v>
      </c>
      <c r="H4" s="2">
        <f>IFERROR(__xludf.DUMMYFUNCTION("AVERAGE(FILTER({'527'!H4,'528'!H4,'529'!H4}, {'527'!H4,'528'!H4,'529'!H4} &lt;&gt;0))"),61.666666666666664)</f>
        <v>61.66666667</v>
      </c>
      <c r="I4" s="2">
        <f>IFERROR(__xludf.DUMMYFUNCTION("AVERAGE(FILTER({'527'!I4,'528'!I4,'529'!I4}, {'527'!I4,'528'!I4,'529'!I4} &lt;&gt;0))"),73.33333333333333)</f>
        <v>73.33333333</v>
      </c>
      <c r="J4" s="2">
        <f>IFERROR(__xludf.DUMMYFUNCTION("AVERAGE(FILTER({'527'!J4,'528'!J4,'529'!J4}, {'527'!J4,'528'!J4,'529'!J4} &lt;&gt;0))"),70.0)</f>
        <v>70</v>
      </c>
      <c r="K4" s="2">
        <f>IFERROR(__xludf.DUMMYFUNCTION("AVERAGE(FILTER({'527'!K4,'528'!K4,'529'!K4}, {'527'!K4,'528'!K4,'529'!K4} &lt;&gt;0))"),58.333333333333336)</f>
        <v>58.33333333</v>
      </c>
      <c r="L4" s="2">
        <f>IFERROR(__xludf.DUMMYFUNCTION("AVERAGE(FILTER({'527'!L4,'528'!L4,'529'!L4}, {'527'!L4,'528'!L4,'529'!L4} &lt;&gt;0))"),61.666666666666664)</f>
        <v>61.66666667</v>
      </c>
      <c r="M4" s="2">
        <f>IFERROR(__xludf.DUMMYFUNCTION("AVERAGE(FILTER({'527'!M4,'528'!M4,'529'!M4}, {'527'!M4,'528'!M4,'529'!M4} &lt;&gt;0))"),70.0)</f>
        <v>70</v>
      </c>
      <c r="N4" s="2">
        <f>IFERROR(__xludf.DUMMYFUNCTION("AVERAGE(FILTER({'527'!N4,'528'!N4,'529'!N4}, {'527'!N4,'528'!N4,'529'!N4} &lt;&gt;0))"),60.0)</f>
        <v>60</v>
      </c>
      <c r="O4" s="2">
        <f>IFERROR(__xludf.DUMMYFUNCTION("AVERAGE(FILTER({'527'!O4,'528'!O4,'529'!O4}, {'527'!O4,'528'!O4,'529'!O4} &lt;&gt;0))"),50.0)</f>
        <v>50</v>
      </c>
      <c r="P4" s="2">
        <f>IFERROR(__xludf.DUMMYFUNCTION("AVERAGE(FILTER({'527'!P4,'528'!P4,'529'!P4}, {'527'!P4,'528'!P4,'529'!P4} &lt;&gt;0))"),37.5)</f>
        <v>37.5</v>
      </c>
      <c r="R4" s="6">
        <f>IFERROR(__xludf.DUMMYFUNCTION("COUNT(FILTER({'522'!C4:P4,'523'!C4:P4,'524'!C4:P4,'525'!C4:P4,'526'!C4:P4,'527'!C4:P4,'528'!C4:P4,'529'!C4:P4}, {'522'!C4:P4,'523'!C4:P4,'524'!C4:P4,'525'!C4:P4,'526'!C4:P4,'527'!C4:P4,'528'!C4:P4,'529'!C4:P4} =0))"),18.0)</f>
        <v>18</v>
      </c>
      <c r="T4" s="2">
        <v>1.0</v>
      </c>
      <c r="V4" s="7">
        <v>45800.0</v>
      </c>
      <c r="W4" s="5">
        <f>SUM('523'!C3:P13)</f>
        <v>3110</v>
      </c>
    </row>
    <row r="5">
      <c r="A5" s="4"/>
      <c r="B5" s="4" t="s">
        <v>28</v>
      </c>
      <c r="C5" s="2">
        <f>IFERROR(__xludf.DUMMYFUNCTION("AVERAGE(FILTER({'527'!C5,'528'!C5,'529'!C5}, {'527'!C5,'528'!C5,'529'!C5} &lt;&gt;0))"),11.666666666666666)</f>
        <v>11.66666667</v>
      </c>
      <c r="D5" s="2">
        <f>IFERROR(__xludf.DUMMYFUNCTION("AVERAGE(FILTER({'527'!D5,'528'!D5,'529'!D5}, {'527'!D5,'528'!D5,'529'!D5} &lt;&gt;0))"),61.666666666666664)</f>
        <v>61.66666667</v>
      </c>
      <c r="E5" s="2">
        <f>IFERROR(__xludf.DUMMYFUNCTION("AVERAGE(FILTER({'527'!E5,'528'!E5,'529'!E5}, {'527'!E5,'528'!E5,'529'!E5} &lt;&gt;0))"),53.333333333333336)</f>
        <v>53.33333333</v>
      </c>
      <c r="F5" s="2">
        <f>IFERROR(__xludf.DUMMYFUNCTION("AVERAGE(FILTER({'527'!F5,'528'!F5,'529'!F5}, {'527'!F5,'528'!F5,'529'!F5} &lt;&gt;0))"),51.666666666666664)</f>
        <v>51.66666667</v>
      </c>
      <c r="G5" s="2">
        <f>IFERROR(__xludf.DUMMYFUNCTION("AVERAGE(FILTER({'527'!G5,'528'!G5,'529'!G5}, {'527'!G5,'528'!G5,'529'!G5} &lt;&gt;0))"),46.666666666666664)</f>
        <v>46.66666667</v>
      </c>
      <c r="H5" s="2">
        <f>IFERROR(__xludf.DUMMYFUNCTION("AVERAGE(FILTER({'527'!H5,'528'!H5,'529'!H5}, {'527'!H5,'528'!H5,'529'!H5} &lt;&gt;0))"),48.333333333333336)</f>
        <v>48.33333333</v>
      </c>
      <c r="I5" s="2">
        <f>IFERROR(__xludf.DUMMYFUNCTION("AVERAGE(FILTER({'527'!I5,'528'!I5,'529'!I5}, {'527'!I5,'528'!I5,'529'!I5} &lt;&gt;0))"),35.0)</f>
        <v>35</v>
      </c>
      <c r="J5" s="2">
        <f>IFERROR(__xludf.DUMMYFUNCTION("AVERAGE(FILTER({'527'!J5,'528'!J5,'529'!J5}, {'527'!J5,'528'!J5,'529'!J5} &lt;&gt;0))"),36.666666666666664)</f>
        <v>36.66666667</v>
      </c>
      <c r="K5" s="2">
        <f>IFERROR(__xludf.DUMMYFUNCTION("AVERAGE(FILTER({'527'!K5,'528'!K5,'529'!K5}, {'527'!K5,'528'!K5,'529'!K5} &lt;&gt;0))"),40.0)</f>
        <v>40</v>
      </c>
      <c r="L5" s="2">
        <f>IFERROR(__xludf.DUMMYFUNCTION("AVERAGE(FILTER({'527'!L5,'528'!L5,'529'!L5}, {'527'!L5,'528'!L5,'529'!L5} &lt;&gt;0))"),35.0)</f>
        <v>35</v>
      </c>
      <c r="M5" s="2">
        <f>IFERROR(__xludf.DUMMYFUNCTION("AVERAGE(FILTER({'527'!M5,'528'!M5,'529'!M5}, {'527'!M5,'528'!M5,'529'!M5} &lt;&gt;0))"),65.0)</f>
        <v>65</v>
      </c>
      <c r="N5" s="2">
        <f>IFERROR(__xludf.DUMMYFUNCTION("AVERAGE(FILTER({'527'!N5,'528'!N5,'529'!N5}, {'527'!N5,'528'!N5,'529'!N5} &lt;&gt;0))"),45.0)</f>
        <v>45</v>
      </c>
      <c r="O5" s="2">
        <f>IFERROR(__xludf.DUMMYFUNCTION("AVERAGE(FILTER({'527'!O5,'528'!O5,'529'!O5}, {'527'!O5,'528'!O5,'529'!O5} &lt;&gt;0))"),12.5)</f>
        <v>12.5</v>
      </c>
      <c r="P5" s="2">
        <f>IFERROR(__xludf.DUMMYFUNCTION("AVERAGE(FILTER({'527'!P5,'528'!P5,'529'!P5}, {'527'!P5,'528'!P5,'529'!P5} &lt;&gt;0))"),17.5)</f>
        <v>17.5</v>
      </c>
      <c r="R5" s="6">
        <f>IFERROR(__xludf.DUMMYFUNCTION("COUNT(FILTER({'522'!C5:P5,'523'!C5:P5,'524'!C5:P5,'525'!C5:P5,'526'!C5:P5,'527'!C5:P5,'528'!C5:P5,'529'!C5:P5}, {'522'!C5:P5,'523'!C5:P5,'524'!C5:P5,'525'!C5:P5,'526'!C5:P5,'527'!C5:P5,'528'!C5:P5,'529'!C5:P5} =0))"),17.0)</f>
        <v>17</v>
      </c>
      <c r="T5" s="2">
        <v>0.0</v>
      </c>
      <c r="V5" s="7">
        <v>45801.0</v>
      </c>
      <c r="W5" s="5">
        <f>SUM('524'!C3:P13)</f>
        <v>2690</v>
      </c>
    </row>
    <row r="6">
      <c r="A6" s="4"/>
      <c r="B6" s="4" t="s">
        <v>29</v>
      </c>
      <c r="C6" s="2">
        <f>IFERROR(__xludf.DUMMYFUNCTION("AVERAGE(FILTER({'527'!C6,'528'!C6,'529'!C6}, {'527'!C6,'528'!C6,'529'!C6} &lt;&gt;0))"),5.0)</f>
        <v>5</v>
      </c>
      <c r="D6" s="2">
        <f>IFERROR(__xludf.DUMMYFUNCTION("AVERAGE(FILTER({'527'!D6,'528'!D6,'529'!D6}, {'527'!D6,'528'!D6,'529'!D6} &lt;&gt;0))"),45.0)</f>
        <v>45</v>
      </c>
      <c r="E6" s="2">
        <f>IFERROR(__xludf.DUMMYFUNCTION("AVERAGE(FILTER({'527'!E6,'528'!E6,'529'!E6}, {'527'!E6,'528'!E6,'529'!E6} &lt;&gt;0))"),43.333333333333336)</f>
        <v>43.33333333</v>
      </c>
      <c r="F6" s="2">
        <f>IFERROR(__xludf.DUMMYFUNCTION("AVERAGE(FILTER({'527'!F6,'528'!F6,'529'!F6}, {'527'!F6,'528'!F6,'529'!F6} &lt;&gt;0))"),58.333333333333336)</f>
        <v>58.33333333</v>
      </c>
      <c r="G6" s="2">
        <f>IFERROR(__xludf.DUMMYFUNCTION("AVERAGE(FILTER({'527'!G6,'528'!G6,'529'!G6}, {'527'!G6,'528'!G6,'529'!G6} &lt;&gt;0))"),61.666666666666664)</f>
        <v>61.66666667</v>
      </c>
      <c r="H6" s="2">
        <f>IFERROR(__xludf.DUMMYFUNCTION("AVERAGE(FILTER({'527'!H6,'528'!H6,'529'!H6}, {'527'!H6,'528'!H6,'529'!H6} &lt;&gt;0))"),30.0)</f>
        <v>30</v>
      </c>
      <c r="I6" s="2">
        <f>IFERROR(__xludf.DUMMYFUNCTION("AVERAGE(FILTER({'527'!I6,'528'!I6,'529'!I6}, {'527'!I6,'528'!I6,'529'!I6} &lt;&gt;0))"),67.5)</f>
        <v>67.5</v>
      </c>
      <c r="J6" s="2">
        <f>IFERROR(__xludf.DUMMYFUNCTION("AVERAGE(FILTER({'527'!J6,'528'!J6,'529'!J6}, {'527'!J6,'528'!J6,'529'!J6} &lt;&gt;0))"),25.0)</f>
        <v>25</v>
      </c>
      <c r="K6" s="2">
        <f>IFERROR(__xludf.DUMMYFUNCTION("AVERAGE(FILTER({'527'!K6,'528'!K6,'529'!K6}, {'527'!K6,'528'!K6,'529'!K6} &lt;&gt;0))"),26.666666666666668)</f>
        <v>26.66666667</v>
      </c>
      <c r="L6" s="2">
        <f>IFERROR(__xludf.DUMMYFUNCTION("AVERAGE(FILTER({'527'!L6,'528'!L6,'529'!L6}, {'527'!L6,'528'!L6,'529'!L6} &lt;&gt;0))"),48.333333333333336)</f>
        <v>48.33333333</v>
      </c>
      <c r="M6" s="2">
        <f>IFERROR(__xludf.DUMMYFUNCTION("AVERAGE(FILTER({'527'!M6,'528'!M6,'529'!M6}, {'527'!M6,'528'!M6,'529'!M6} &lt;&gt;0))"),25.0)</f>
        <v>25</v>
      </c>
      <c r="N6" s="2">
        <f>IFERROR(__xludf.DUMMYFUNCTION("AVERAGE(FILTER({'527'!N6,'528'!N6,'529'!N6}, {'527'!N6,'528'!N6,'529'!N6} &lt;&gt;0))"),30.0)</f>
        <v>30</v>
      </c>
      <c r="O6" s="2">
        <f>IFERROR(__xludf.DUMMYFUNCTION("AVERAGE(FILTER({'527'!O6,'528'!O6,'529'!O6}, {'527'!O6,'528'!O6,'529'!O6} &lt;&gt;0))"),7.5)</f>
        <v>7.5</v>
      </c>
      <c r="P6" s="2">
        <f>IFERROR(__xludf.DUMMYFUNCTION("AVERAGE(FILTER({'527'!P6,'528'!P6,'529'!P6}, {'527'!P6,'528'!P6,'529'!P6} &lt;&gt;0))"),5.0)</f>
        <v>5</v>
      </c>
      <c r="R6" s="6">
        <f>IFERROR(__xludf.DUMMYFUNCTION("COUNT(FILTER({'522'!C6:P6,'523'!C6:P6,'524'!C6:P6,'525'!C6:P6,'526'!C6:P6,'527'!C6:P6,'528'!C6:P6,'529'!C6:P6}, {'522'!C6:P6,'523'!C6:P6,'524'!C6:P6,'525'!C6:P6,'526'!C6:P6,'527'!C6:P6,'528'!C6:P6,'529'!C6:P6} =0))"),28.0)</f>
        <v>28</v>
      </c>
      <c r="T6" s="5">
        <f>IFERROR(__xludf.DUMMYFUNCTION("R6 - COUNT(FILTER({'522'!C15:P15,'523'!C14:P14,'524'!C14:P14,'529'!C14:P14,'527'!C14:P14,'525'!C14:P14,'526'!C14:P14,'528'!C14:P14}, {'522'!C15:P15,'523'!C14:P14,'524'!C14:P14,'529'!C14:P14,'527'!C14:P14,'525'!C14:P14,'526'!C14:P14,'528'!C14:P14} = 2))"),8.0)</f>
        <v>8</v>
      </c>
      <c r="V6" s="7">
        <v>45802.0</v>
      </c>
      <c r="W6" s="5">
        <f>SUM('525'!C3:P13)</f>
        <v>3910</v>
      </c>
    </row>
    <row r="7">
      <c r="A7" s="4"/>
      <c r="B7" s="4" t="s">
        <v>30</v>
      </c>
      <c r="C7" s="2">
        <f>IFERROR(__xludf.DUMMYFUNCTION("AVERAGE(FILTER({'527'!C7,'528'!C7,'529'!C7}, {'527'!C7,'528'!C7,'529'!C7} &lt;&gt;0))"),190.0)</f>
        <v>190</v>
      </c>
      <c r="D7" s="2">
        <f>IFERROR(__xludf.DUMMYFUNCTION("AVERAGE(FILTER({'527'!D7,'528'!D7,'529'!D7}, {'527'!D7,'528'!D7,'529'!D7} &lt;&gt;0))"),225.0)</f>
        <v>225</v>
      </c>
      <c r="E7" s="2">
        <f>IFERROR(__xludf.DUMMYFUNCTION("AVERAGE(FILTER({'527'!E7,'528'!E7,'529'!E7}, {'527'!E7,'528'!E7,'529'!E7} &lt;&gt;0))"),185.0)</f>
        <v>185</v>
      </c>
      <c r="F7" s="2">
        <f>IFERROR(__xludf.DUMMYFUNCTION("AVERAGE(FILTER({'527'!F7,'528'!F7,'529'!F7}, {'527'!F7,'528'!F7,'529'!F7} &lt;&gt;0))"),195.0)</f>
        <v>195</v>
      </c>
      <c r="G7" s="2">
        <f>IFERROR(__xludf.DUMMYFUNCTION("AVERAGE(FILTER({'527'!G7,'528'!G7,'529'!G7}, {'527'!G7,'528'!G7,'529'!G7} &lt;&gt;0))"),150.0)</f>
        <v>150</v>
      </c>
      <c r="H7" s="2">
        <f>IFERROR(__xludf.DUMMYFUNCTION("AVERAGE(FILTER({'527'!H7,'528'!H7,'529'!H7}, {'527'!H7,'528'!H7,'529'!H7} &lt;&gt;0))"),170.0)</f>
        <v>170</v>
      </c>
      <c r="I7" s="2">
        <f>IFERROR(__xludf.DUMMYFUNCTION("AVERAGE(FILTER({'527'!I7,'528'!I7,'529'!I7}, {'527'!I7,'528'!I7,'529'!I7} &lt;&gt;0))"),168.33333333333334)</f>
        <v>168.3333333</v>
      </c>
      <c r="J7" s="2">
        <f>IFERROR(__xludf.DUMMYFUNCTION("AVERAGE(FILTER({'527'!J7,'528'!J7,'529'!J7}, {'527'!J7,'528'!J7,'529'!J7} &lt;&gt;0))"),227.5)</f>
        <v>227.5</v>
      </c>
      <c r="K7" s="2">
        <f>IFERROR(__xludf.DUMMYFUNCTION("AVERAGE(FILTER({'527'!K7,'528'!K7,'529'!K7}, {'527'!K7,'528'!K7,'529'!K7} &lt;&gt;0))"),181.66666666666666)</f>
        <v>181.6666667</v>
      </c>
      <c r="L7" s="2">
        <f>IFERROR(__xludf.DUMMYFUNCTION("AVERAGE(FILTER({'527'!L7,'528'!L7,'529'!L7}, {'527'!L7,'528'!L7,'529'!L7} &lt;&gt;0))"),187.5)</f>
        <v>187.5</v>
      </c>
      <c r="M7" s="2">
        <f>IFERROR(__xludf.DUMMYFUNCTION("AVERAGE(FILTER({'527'!M7,'528'!M7,'529'!M7}, {'527'!M7,'528'!M7,'529'!M7} &lt;&gt;0))"),203.33333333333334)</f>
        <v>203.3333333</v>
      </c>
      <c r="N7" s="2">
        <f>IFERROR(__xludf.DUMMYFUNCTION("AVERAGE(FILTER({'527'!N7,'528'!N7,'529'!N7}, {'527'!N7,'528'!N7,'529'!N7} &lt;&gt;0))"),260.0)</f>
        <v>260</v>
      </c>
      <c r="O7" s="2">
        <f>IFERROR(__xludf.DUMMYFUNCTION("AVERAGE(FILTER({'527'!O7,'528'!O7,'529'!O7}, {'527'!O7,'528'!O7,'529'!O7} &lt;&gt;0))"),300.0)</f>
        <v>300</v>
      </c>
      <c r="P7" s="2">
        <f>IFERROR(__xludf.DUMMYFUNCTION("AVERAGE(FILTER({'527'!P7,'528'!P7,'529'!P7}, {'527'!P7,'528'!P7,'529'!P7} &lt;&gt;0))"),300.0)</f>
        <v>300</v>
      </c>
      <c r="R7" s="6">
        <f>IFERROR(__xludf.DUMMYFUNCTION("COUNT(FILTER({'522'!C7:P7,'523'!C7:P7,'524'!C7:P7,'525'!C7:P7,'526'!C7:P7,'527'!C7:P7,'528'!C7:P7,'529'!C7:P7}, {'522'!C7:P7,'523'!C7:P7,'524'!C7:P7,'525'!C7:P7,'526'!C7:P7,'527'!C7:P7,'528'!C7:P7,'529'!C7:P7} =0))"),11.0)</f>
        <v>11</v>
      </c>
      <c r="S7" s="6"/>
      <c r="T7" s="6">
        <v>11.0</v>
      </c>
      <c r="V7" s="7">
        <v>45803.0</v>
      </c>
      <c r="W7" s="5">
        <f>SUM('526'!C3:P13)</f>
        <v>3140</v>
      </c>
    </row>
    <row r="8">
      <c r="A8" s="4"/>
      <c r="B8" s="4" t="s">
        <v>31</v>
      </c>
      <c r="C8" s="2">
        <f>IFERROR(__xludf.DUMMYFUNCTION("AVERAGE(FILTER({'527'!C8,'528'!C8,'529'!C8}, {'527'!C8,'528'!C8,'529'!C8} &lt;&gt;0))"),18.333333333333332)</f>
        <v>18.33333333</v>
      </c>
      <c r="D8" s="2">
        <f>IFERROR(__xludf.DUMMYFUNCTION("AVERAGE(FILTER({'527'!D8,'528'!D8,'529'!D8}, {'527'!D8,'528'!D8,'529'!D8} &lt;&gt;0))"),53.333333333333336)</f>
        <v>53.33333333</v>
      </c>
      <c r="E8" s="2">
        <f>IFERROR(__xludf.DUMMYFUNCTION("AVERAGE(FILTER({'527'!E8,'528'!E8,'529'!E8}, {'527'!E8,'528'!E8,'529'!E8} &lt;&gt;0))"),58.333333333333336)</f>
        <v>58.33333333</v>
      </c>
      <c r="F8" s="2">
        <f>IFERROR(__xludf.DUMMYFUNCTION("AVERAGE(FILTER({'527'!F8,'528'!F8,'529'!F8}, {'527'!F8,'528'!F8,'529'!F8} &lt;&gt;0))"),68.33333333333333)</f>
        <v>68.33333333</v>
      </c>
      <c r="G8" s="2">
        <f>IFERROR(__xludf.DUMMYFUNCTION("AVERAGE(FILTER({'527'!G8,'528'!G8,'529'!G8}, {'527'!G8,'528'!G8,'529'!G8} &lt;&gt;0))"),60.0)</f>
        <v>60</v>
      </c>
      <c r="H8" s="2">
        <f>IFERROR(__xludf.DUMMYFUNCTION("AVERAGE(FILTER({'527'!H8,'528'!H8,'529'!H8}, {'527'!H8,'528'!H8,'529'!H8} &lt;&gt;0))"),53.333333333333336)</f>
        <v>53.33333333</v>
      </c>
      <c r="I8" s="2">
        <f>IFERROR(__xludf.DUMMYFUNCTION("AVERAGE(FILTER({'527'!I8,'528'!I8,'529'!I8}, {'527'!I8,'528'!I8,'529'!I8} &lt;&gt;0))"),45.0)</f>
        <v>45</v>
      </c>
      <c r="J8" s="2">
        <f>IFERROR(__xludf.DUMMYFUNCTION("AVERAGE(FILTER({'527'!J8,'528'!J8,'529'!J8}, {'527'!J8,'528'!J8,'529'!J8} &lt;&gt;0))"),41.666666666666664)</f>
        <v>41.66666667</v>
      </c>
      <c r="K8" s="2">
        <f>IFERROR(__xludf.DUMMYFUNCTION("AVERAGE(FILTER({'527'!K8,'528'!K8,'529'!K8}, {'527'!K8,'528'!K8,'529'!K8} &lt;&gt;0))"),30.0)</f>
        <v>30</v>
      </c>
      <c r="L8" s="2">
        <f>IFERROR(__xludf.DUMMYFUNCTION("AVERAGE(FILTER({'527'!L8,'528'!L8,'529'!L8}, {'527'!L8,'528'!L8,'529'!L8} &lt;&gt;0))"),30.0)</f>
        <v>30</v>
      </c>
      <c r="M8" s="2">
        <f>IFERROR(__xludf.DUMMYFUNCTION("AVERAGE(FILTER({'527'!M8,'528'!M8,'529'!M8}, {'527'!M8,'528'!M8,'529'!M8} &lt;&gt;0))"),50.0)</f>
        <v>50</v>
      </c>
      <c r="N8" s="2">
        <f>IFERROR(__xludf.DUMMYFUNCTION("AVERAGE(FILTER({'527'!N8,'528'!N8,'529'!N8}, {'527'!N8,'528'!N8,'529'!N8} &lt;&gt;0))"),30.0)</f>
        <v>30</v>
      </c>
      <c r="O8" s="2">
        <f>IFERROR(__xludf.DUMMYFUNCTION("AVERAGE(FILTER({'527'!O8,'528'!O8,'529'!O8}, {'527'!O8,'528'!O8,'529'!O8} &lt;&gt;0))"),25.0)</f>
        <v>25</v>
      </c>
      <c r="P8" s="2">
        <f>IFERROR(__xludf.DUMMYFUNCTION("AVERAGE(FILTER({'527'!P8,'528'!P8,'529'!P8}, {'527'!P8,'528'!P8,'529'!P8} &lt;&gt;0))"),17.5)</f>
        <v>17.5</v>
      </c>
      <c r="R8" s="6">
        <f>IFERROR(__xludf.DUMMYFUNCTION("COUNT(FILTER({'522'!C8:P8,'523'!C8:P8,'524'!C8:P8,'525'!C8:P8,'526'!C8:P8,'527'!C8:P8,'528'!C8:P8,'529'!C8:P8}, {'522'!C8:P8,'523'!C8:P8,'524'!C8:P8,'525'!C8:P8,'526'!C8:P8,'527'!C8:P8,'528'!C8:P8,'529'!C8:P8} =0))"),29.0)</f>
        <v>29</v>
      </c>
      <c r="T8" s="5">
        <f>IFERROR(__xludf.DUMMYFUNCTION("R8 - COUNT(FILTER({'522'!C15:P15,'523'!C14:P14,'524'!C14:P14,'529'!C14:P14,'527'!C14:P14,'525'!C14:P14,'526'!C14:P14,'528'!C14:P14}, {'522'!C15:P15,'523'!C14:P14,'524'!C14:P14,'529'!C14:P14,'527'!C14:P14,'525'!C14:P14,'526'!C14:P14,'528'!C14:P14} = 2))"),9.0)</f>
        <v>9</v>
      </c>
      <c r="V8" s="7">
        <v>45804.0</v>
      </c>
      <c r="W8" s="5">
        <f>SUM('527'!C3:P13)</f>
        <v>6870</v>
      </c>
    </row>
    <row r="9">
      <c r="A9" s="4"/>
      <c r="B9" s="4" t="s">
        <v>32</v>
      </c>
      <c r="C9" s="2">
        <f>IFERROR(__xludf.DUMMYFUNCTION("AVERAGE(FILTER({'527'!C9,'528'!C9,'529'!C9}, {'527'!C9,'528'!C9,'529'!C9} &lt;&gt;0))"),75.0)</f>
        <v>75</v>
      </c>
      <c r="D9" s="2">
        <f>IFERROR(__xludf.DUMMYFUNCTION("AVERAGE(FILTER({'527'!D9,'528'!D9,'529'!D9}, {'527'!D9,'528'!D9,'529'!D9} &lt;&gt;0))"),123.33333333333333)</f>
        <v>123.3333333</v>
      </c>
      <c r="E9" s="2">
        <f>IFERROR(__xludf.DUMMYFUNCTION("AVERAGE(FILTER({'527'!E9,'528'!E9,'529'!E9}, {'527'!E9,'528'!E9,'529'!E9} &lt;&gt;0))"),136.66666666666666)</f>
        <v>136.6666667</v>
      </c>
      <c r="F9" s="2">
        <f>IFERROR(__xludf.DUMMYFUNCTION("AVERAGE(FILTER({'527'!F9,'528'!F9,'529'!F9}, {'527'!F9,'528'!F9,'529'!F9} &lt;&gt;0))"),140.0)</f>
        <v>140</v>
      </c>
      <c r="G9" s="2">
        <f>IFERROR(__xludf.DUMMYFUNCTION("AVERAGE(FILTER({'527'!G9,'528'!G9,'529'!G9}, {'527'!G9,'528'!G9,'529'!G9} &lt;&gt;0))"),136.66666666666666)</f>
        <v>136.6666667</v>
      </c>
      <c r="H9" s="2">
        <f>IFERROR(__xludf.DUMMYFUNCTION("AVERAGE(FILTER({'527'!H9,'528'!H9,'529'!H9}, {'527'!H9,'528'!H9,'529'!H9} &lt;&gt;0))"),116.66666666666667)</f>
        <v>116.6666667</v>
      </c>
      <c r="I9" s="2">
        <f>IFERROR(__xludf.DUMMYFUNCTION("AVERAGE(FILTER({'527'!I9,'528'!I9,'529'!I9}, {'527'!I9,'528'!I9,'529'!I9} &lt;&gt;0))"),85.0)</f>
        <v>85</v>
      </c>
      <c r="J9" s="2">
        <f>IFERROR(__xludf.DUMMYFUNCTION("AVERAGE(FILTER({'527'!J9,'528'!J9,'529'!J9}, {'527'!J9,'528'!J9,'529'!J9} &lt;&gt;0))"),133.33333333333334)</f>
        <v>133.3333333</v>
      </c>
      <c r="K9" s="2">
        <f>IFERROR(__xludf.DUMMYFUNCTION("AVERAGE(FILTER({'527'!K9,'528'!K9,'529'!K9}, {'527'!K9,'528'!K9,'529'!K9} &lt;&gt;0))"),98.33333333333333)</f>
        <v>98.33333333</v>
      </c>
      <c r="L9" s="2">
        <f>IFERROR(__xludf.DUMMYFUNCTION("AVERAGE(FILTER({'527'!L9,'528'!L9,'529'!L9}, {'527'!L9,'528'!L9,'529'!L9} &lt;&gt;0))"),102.5)</f>
        <v>102.5</v>
      </c>
      <c r="M9" s="2">
        <f>IFERROR(__xludf.DUMMYFUNCTION("AVERAGE(FILTER({'527'!M9,'528'!M9,'529'!M9}, {'527'!M9,'528'!M9,'529'!M9} &lt;&gt;0))"),66.66666666666667)</f>
        <v>66.66666667</v>
      </c>
      <c r="N9" s="2">
        <f>IFERROR(__xludf.DUMMYFUNCTION("AVERAGE(FILTER({'527'!N9,'528'!N9,'529'!N9}, {'527'!N9,'528'!N9,'529'!N9} &lt;&gt;0))"),71.66666666666667)</f>
        <v>71.66666667</v>
      </c>
      <c r="O9" s="2">
        <f>IFERROR(__xludf.DUMMYFUNCTION("AVERAGE(FILTER({'527'!O9,'528'!O9,'529'!O9}, {'527'!O9,'528'!O9,'529'!O9} &lt;&gt;0))"),53.333333333333336)</f>
        <v>53.33333333</v>
      </c>
      <c r="P9" s="2">
        <f>IFERROR(__xludf.DUMMYFUNCTION("AVERAGE(FILTER({'527'!P9,'528'!P9,'529'!P9}, {'527'!P9,'528'!P9,'529'!P9} &lt;&gt;0))"),31.666666666666668)</f>
        <v>31.66666667</v>
      </c>
      <c r="R9" s="6">
        <f>IFERROR(__xludf.DUMMYFUNCTION("COUNT(FILTER({'522'!C9:P9,'523'!C9:P9,'524'!C9:P9,'525'!C9:P9,'526'!C9:P9,'527'!C9:P9,'528'!C9:P9,'529'!C9:P9}, {'522'!C9:P9,'523'!C9:P9,'524'!C9:P9,'525'!C9:P9,'526'!C9:P9,'527'!C9:P9,'528'!C9:P9,'529'!C9:P9} =0))"),7.0)</f>
        <v>7</v>
      </c>
      <c r="S9" s="6"/>
      <c r="T9" s="6">
        <v>7.0</v>
      </c>
      <c r="V9" s="7">
        <v>45805.0</v>
      </c>
      <c r="W9" s="5">
        <f>SUM('528'!C3:P13)</f>
        <v>9642</v>
      </c>
    </row>
    <row r="10">
      <c r="A10" s="4"/>
      <c r="B10" s="4" t="s">
        <v>33</v>
      </c>
      <c r="C10" s="2">
        <f>IFERROR(__xludf.DUMMYFUNCTION("AVERAGE(FILTER({'527'!C10,'528'!C10,'529'!C10}, {'527'!C10,'528'!C10,'529'!C10} &lt;&gt;0))"),92.5)</f>
        <v>92.5</v>
      </c>
      <c r="D10" s="2">
        <f>IFERROR(__xludf.DUMMYFUNCTION("AVERAGE(FILTER({'527'!D10,'528'!D10,'529'!D10}, {'527'!D10,'528'!D10,'529'!D10} &lt;&gt;0))"),71.66666666666667)</f>
        <v>71.66666667</v>
      </c>
      <c r="E10" s="2">
        <f>IFERROR(__xludf.DUMMYFUNCTION("AVERAGE(FILTER({'527'!E10,'528'!E10,'529'!E10}, {'527'!E10,'528'!E10,'529'!E10} &lt;&gt;0))"),112.5)</f>
        <v>112.5</v>
      </c>
      <c r="F10" s="2">
        <f>IFERROR(__xludf.DUMMYFUNCTION("AVERAGE(FILTER({'527'!F10,'528'!F10,'529'!F10}, {'527'!F10,'528'!F10,'529'!F10} &lt;&gt;0))"),78.33333333333333)</f>
        <v>78.33333333</v>
      </c>
      <c r="G10" s="2">
        <f>IFERROR(__xludf.DUMMYFUNCTION("AVERAGE(FILTER({'527'!G10,'528'!G10,'529'!G10}, {'527'!G10,'528'!G10,'529'!G10} &lt;&gt;0))"),77.5)</f>
        <v>77.5</v>
      </c>
      <c r="H10" s="2">
        <f>IFERROR(__xludf.DUMMYFUNCTION("AVERAGE(FILTER({'527'!H10,'528'!H10,'529'!H10}, {'527'!H10,'528'!H10,'529'!H10} &lt;&gt;0))"),93.33333333333333)</f>
        <v>93.33333333</v>
      </c>
      <c r="I10" s="2">
        <f>IFERROR(__xludf.DUMMYFUNCTION("AVERAGE(FILTER({'527'!I10,'528'!I10,'529'!I10}, {'527'!I10,'528'!I10,'529'!I10} &lt;&gt;0))"),76.66666666666667)</f>
        <v>76.66666667</v>
      </c>
      <c r="J10" s="2">
        <f>IFERROR(__xludf.DUMMYFUNCTION("AVERAGE(FILTER({'527'!J10,'528'!J10,'529'!J10}, {'527'!J10,'528'!J10,'529'!J10} &lt;&gt;0))"),78.33333333333333)</f>
        <v>78.33333333</v>
      </c>
      <c r="K10" s="2">
        <f>IFERROR(__xludf.DUMMYFUNCTION("AVERAGE(FILTER({'527'!K10,'528'!K10,'529'!K10}, {'527'!K10,'528'!K10,'529'!K10} &lt;&gt;0))"),78.33333333333333)</f>
        <v>78.33333333</v>
      </c>
      <c r="L10" s="2">
        <f>IFERROR(__xludf.DUMMYFUNCTION("AVERAGE(FILTER({'527'!L10,'528'!L10,'529'!L10}, {'527'!L10,'528'!L10,'529'!L10} &lt;&gt;0))"),72.5)</f>
        <v>72.5</v>
      </c>
      <c r="M10" s="2">
        <f>IFERROR(__xludf.DUMMYFUNCTION("AVERAGE(FILTER({'527'!M10,'528'!M10,'529'!M10}, {'527'!M10,'528'!M10,'529'!M10} &lt;&gt;0))"),85.0)</f>
        <v>85</v>
      </c>
      <c r="N10" s="2">
        <f>IFERROR(__xludf.DUMMYFUNCTION("AVERAGE(FILTER({'527'!N10,'528'!N10,'529'!N10}, {'527'!N10,'528'!N10,'529'!N10} &lt;&gt;0))"),75.0)</f>
        <v>75</v>
      </c>
      <c r="O10" s="2">
        <f>IFERROR(__xludf.DUMMYFUNCTION("AVERAGE(FILTER({'527'!O10,'528'!O10,'529'!O10}, {'527'!O10,'528'!O10,'529'!O10} &lt;&gt;0))"),60.0)</f>
        <v>60</v>
      </c>
      <c r="P10" s="2">
        <f>IFERROR(__xludf.DUMMYFUNCTION("AVERAGE(FILTER({'527'!P10,'528'!P10,'529'!P10}, {'527'!P10,'528'!P10,'529'!P10} &lt;&gt;0))"),35.0)</f>
        <v>35</v>
      </c>
      <c r="R10" s="6">
        <f>IFERROR(__xludf.DUMMYFUNCTION("COUNT(FILTER({'522'!C10:P10,'523'!C10:P10,'524'!C10:P10,'525'!C10:P10,'526'!C10:P10,'527'!C10:P10,'528'!C10:P10,'529'!C10:P10}, {'522'!C10:P10,'523'!C10:P10,'524'!C10:P10,'525'!C10:P10,'526'!C10:P10,'527'!C10:P10,'528'!C10:P10,'529'!C10:P10} =0))"),32.0)</f>
        <v>32</v>
      </c>
      <c r="T10" s="5">
        <f>IFERROR(__xludf.DUMMYFUNCTION("R10 - COUNT(FILTER({'522'!C15:P15,'523'!C14:P14,'524'!C14:P14,'529'!C14:P14,'527'!C14:P14,'525'!C14:P14,'526'!C14:P14,'528'!C14:P14}, {'522'!C15:P15,'523'!C14:P14,'524'!C14:P14,'529'!C14:P14,'527'!C14:P14,'525'!C14:P14,'526'!C14:P14,'528'!C14:P14} = 2))"),12.0)</f>
        <v>12</v>
      </c>
      <c r="V10" s="7">
        <v>45806.0</v>
      </c>
      <c r="W10" s="5">
        <f>SUM('529'!C3:P13)</f>
        <v>8240</v>
      </c>
    </row>
    <row r="11">
      <c r="A11" s="4"/>
      <c r="B11" s="4" t="s">
        <v>34</v>
      </c>
      <c r="C11" s="2">
        <f>IFERROR(__xludf.DUMMYFUNCTION("AVERAGE(FILTER({'527'!C11,'528'!C11,'529'!C11}, {'527'!C11,'528'!C11,'529'!C11} &lt;&gt;0))"),35.0)</f>
        <v>35</v>
      </c>
      <c r="D11" s="2">
        <f>IFERROR(__xludf.DUMMYFUNCTION("AVERAGE(FILTER({'527'!D11,'528'!D11,'529'!D11}, {'527'!D11,'528'!D11,'529'!D11} &lt;&gt;0))"),27.5)</f>
        <v>27.5</v>
      </c>
      <c r="E11" s="2">
        <f>IFERROR(__xludf.DUMMYFUNCTION("AVERAGE(FILTER({'527'!E11,'528'!E11,'529'!E11}, {'527'!E11,'528'!E11,'529'!E11} &lt;&gt;0))"),22.5)</f>
        <v>22.5</v>
      </c>
      <c r="F11" s="2">
        <f>IFERROR(__xludf.DUMMYFUNCTION("AVERAGE(FILTER({'527'!F11,'528'!F11,'529'!F11}, {'527'!F11,'528'!F11,'529'!F11} &lt;&gt;0))"),30.0)</f>
        <v>30</v>
      </c>
      <c r="G11" s="2">
        <f>IFERROR(__xludf.DUMMYFUNCTION("AVERAGE(FILTER({'527'!G11,'528'!G11,'529'!G11}, {'527'!G11,'528'!G11,'529'!G11} &lt;&gt;0))"),35.0)</f>
        <v>35</v>
      </c>
      <c r="H11" s="2">
        <f>IFERROR(__xludf.DUMMYFUNCTION("AVERAGE(FILTER({'527'!H11,'528'!H11,'529'!H11}, {'527'!H11,'528'!H11,'529'!H11} &lt;&gt;0))"),40.0)</f>
        <v>40</v>
      </c>
      <c r="I11" s="2">
        <f>IFERROR(__xludf.DUMMYFUNCTION("AVERAGE(FILTER({'527'!I11,'528'!I11,'529'!I11}, {'527'!I11,'528'!I11,'529'!I11} &lt;&gt;0))"),50.0)</f>
        <v>50</v>
      </c>
      <c r="J11" s="2">
        <f>IFERROR(__xludf.DUMMYFUNCTION("AVERAGE(FILTER({'527'!J11,'528'!J11,'529'!J11}, {'527'!J11,'528'!J11,'529'!J11} &lt;&gt;0))"),38.333333333333336)</f>
        <v>38.33333333</v>
      </c>
      <c r="K11" s="2">
        <f>IFERROR(__xludf.DUMMYFUNCTION("AVERAGE(FILTER({'527'!K11,'528'!K11,'529'!K11}, {'527'!K11,'528'!K11,'529'!K11} &lt;&gt;0))"),30.0)</f>
        <v>30</v>
      </c>
      <c r="L11" s="2">
        <f>IFERROR(__xludf.DUMMYFUNCTION("AVERAGE(FILTER({'527'!L11,'528'!L11,'529'!L11}, {'527'!L11,'528'!L11,'529'!L11} &lt;&gt;0))"),25.0)</f>
        <v>25</v>
      </c>
      <c r="M11" s="2">
        <f>IFERROR(__xludf.DUMMYFUNCTION("AVERAGE(FILTER({'527'!M11,'528'!M11,'529'!M11}, {'527'!M11,'528'!M11,'529'!M11} &lt;&gt;0))"),28.333333333333332)</f>
        <v>28.33333333</v>
      </c>
      <c r="N11" s="2">
        <f>IFERROR(__xludf.DUMMYFUNCTION("AVERAGE(FILTER({'527'!N11,'528'!N11,'529'!N11}, {'527'!N11,'528'!N11,'529'!N11} &lt;&gt;0))"),26.666666666666668)</f>
        <v>26.66666667</v>
      </c>
      <c r="O11" s="2">
        <f>IFERROR(__xludf.DUMMYFUNCTION("AVERAGE(FILTER({'527'!O11,'528'!O11,'529'!O11}, {'527'!O11,'528'!O11,'529'!O11} &lt;&gt;0))"),21.666666666666668)</f>
        <v>21.66666667</v>
      </c>
      <c r="P11" s="2">
        <f>IFERROR(__xludf.DUMMYFUNCTION("AVERAGE(FILTER({'527'!P11,'528'!P11,'529'!P11}, {'527'!P11,'528'!P11,'529'!P11} &lt;&gt;0))"),13.333333333333334)</f>
        <v>13.33333333</v>
      </c>
      <c r="R11" s="6">
        <f>IFERROR(__xludf.DUMMYFUNCTION("COUNT(FILTER({'522'!C11:P11,'523'!C11:P11,'524'!C11:P11,'525'!C11:P11,'526'!C11:P11,'527'!C11:P11,'528'!C11:P11,'529'!C11:P11}, {'522'!C11:P11,'523'!C11:P11,'524'!C11:P11,'525'!C11:P11,'526'!C11:P11,'527'!C11:P11,'528'!C11:P11,'529'!C11:P11} =0))"),6.0)</f>
        <v>6</v>
      </c>
      <c r="S11" s="6"/>
      <c r="T11" s="6">
        <v>6.0</v>
      </c>
    </row>
    <row r="12">
      <c r="A12" s="4"/>
      <c r="B12" s="4" t="s">
        <v>35</v>
      </c>
      <c r="C12" s="2">
        <f>IFERROR(__xludf.DUMMYFUNCTION("AVERAGE(FILTER({'527'!C12,'528'!C12,'529'!C12}, {'527'!C12,'528'!C12,'529'!C12} &lt;&gt;0))"),26.666666666666668)</f>
        <v>26.66666667</v>
      </c>
      <c r="D12" s="2">
        <f>IFERROR(__xludf.DUMMYFUNCTION("AVERAGE(FILTER({'527'!D12,'528'!D12,'529'!D12}, {'527'!D12,'528'!D12,'529'!D12} &lt;&gt;0))"),51.666666666666664)</f>
        <v>51.66666667</v>
      </c>
      <c r="E12" s="2">
        <f>IFERROR(__xludf.DUMMYFUNCTION("AVERAGE(FILTER({'527'!E12,'528'!E12,'529'!E12}, {'527'!E12,'528'!E12,'529'!E12} &lt;&gt;0))"),61.666666666666664)</f>
        <v>61.66666667</v>
      </c>
      <c r="F12" s="2">
        <f>IFERROR(__xludf.DUMMYFUNCTION("AVERAGE(FILTER({'527'!F12,'528'!F12,'529'!F12}, {'527'!F12,'528'!F12,'529'!F12} &lt;&gt;0))"),53.333333333333336)</f>
        <v>53.33333333</v>
      </c>
      <c r="G12" s="2">
        <f>IFERROR(__xludf.DUMMYFUNCTION("AVERAGE(FILTER({'527'!G12,'528'!G12,'529'!G12}, {'527'!G12,'528'!G12,'529'!G12} &lt;&gt;0))"),47.5)</f>
        <v>47.5</v>
      </c>
      <c r="H12" s="2">
        <f>IFERROR(__xludf.DUMMYFUNCTION("AVERAGE(FILTER({'527'!H12,'528'!H12,'529'!H12}, {'527'!H12,'528'!H12,'529'!H12} &lt;&gt;0))"),47.5)</f>
        <v>47.5</v>
      </c>
      <c r="I12" s="2">
        <f>IFERROR(__xludf.DUMMYFUNCTION("AVERAGE(FILTER({'527'!I12,'528'!I12,'529'!I12}, {'527'!I12,'528'!I12,'529'!I12} &lt;&gt;0))"),30.0)</f>
        <v>30</v>
      </c>
      <c r="J12" s="2">
        <f>IFERROR(__xludf.DUMMYFUNCTION("AVERAGE(FILTER({'527'!J12,'528'!J12,'529'!J12}, {'527'!J12,'528'!J12,'529'!J12} &lt;&gt;0))"),31.666666666666668)</f>
        <v>31.66666667</v>
      </c>
      <c r="K12" s="2">
        <f>IFERROR(__xludf.DUMMYFUNCTION("AVERAGE(FILTER({'527'!K12,'528'!K12,'529'!K12}, {'527'!K12,'528'!K12,'529'!K12} &lt;&gt;0))"),35.0)</f>
        <v>35</v>
      </c>
      <c r="L12" s="2">
        <f>IFERROR(__xludf.DUMMYFUNCTION("AVERAGE(FILTER({'527'!L12,'528'!L12,'529'!L12}, {'527'!L12,'528'!L12,'529'!L12} &lt;&gt;0))"),43.333333333333336)</f>
        <v>43.33333333</v>
      </c>
      <c r="M12" s="2">
        <f>IFERROR(__xludf.DUMMYFUNCTION("AVERAGE(FILTER({'527'!M12,'528'!M12,'529'!M12}, {'527'!M12,'528'!M12,'529'!M12} &lt;&gt;0))"),35.0)</f>
        <v>35</v>
      </c>
      <c r="N12" s="2">
        <f>IFERROR(__xludf.DUMMYFUNCTION("AVERAGE(FILTER({'527'!N12,'528'!N12,'529'!N12}, {'527'!N12,'528'!N12,'529'!N12} &lt;&gt;0))"),36.0)</f>
        <v>36</v>
      </c>
      <c r="O12" s="2">
        <f>IFERROR(__xludf.DUMMYFUNCTION("AVERAGE(FILTER({'527'!O12,'528'!O12,'529'!O12}, {'527'!O12,'528'!O12,'529'!O12} &lt;&gt;0))"),30.0)</f>
        <v>30</v>
      </c>
      <c r="P12" s="2">
        <f>IFERROR(__xludf.DUMMYFUNCTION("AVERAGE(FILTER({'527'!P12,'528'!P12,'529'!P12}, {'527'!P12,'528'!P12,'529'!P12} &lt;&gt;0))"),42.5)</f>
        <v>42.5</v>
      </c>
      <c r="R12" s="6">
        <f>IFERROR(__xludf.DUMMYFUNCTION("COUNT(FILTER({'522'!C12:P12,'523'!C12:P12,'524'!C12:P12,'525'!C12:P12,'526'!C12:P12,'527'!C12:P12,'528'!C12:P12,'529'!C12:P12}, {'522'!C12:P12,'523'!C12:P12,'524'!C12:P12,'525'!C12:P12,'526'!C12:P12,'527'!C12:P12,'528'!C12:P12,'529'!C12:P12} =0))"),23.0)</f>
        <v>23</v>
      </c>
      <c r="T12" s="5">
        <f>IFERROR(__xludf.DUMMYFUNCTION("R12 - COUNT(FILTER({'522'!C15:P15,'523'!C14:P14,'524'!C14:P14,'529'!C14:P14,'527'!C14:P14,'525'!C14:P14,'526'!C14:P14,'528'!C14:P14}, {'522'!C15:P15,'523'!C14:P14,'524'!C14:P14,'529'!C14:P14,'527'!C14:P14,'525'!C14:P14,'526'!C14:P14,'528'!C14:P14} = 2))"),3.0)</f>
        <v>3</v>
      </c>
    </row>
    <row r="13">
      <c r="A13" s="4"/>
      <c r="B13" s="4" t="s">
        <v>36</v>
      </c>
      <c r="C13" s="2">
        <f>IFERROR(__xludf.DUMMYFUNCTION("AVERAGE(FILTER({'527'!C13,'528'!C13,'529'!C13}, {'527'!C13,'528'!C13,'529'!C13} &lt;&gt;0))"),20.0)</f>
        <v>20</v>
      </c>
      <c r="D13" s="2">
        <f>IFERROR(__xludf.DUMMYFUNCTION("AVERAGE(FILTER({'527'!D13,'528'!D13,'529'!D13}, {'527'!D13,'528'!D13,'529'!D13} &lt;&gt;0))"),46.666666666666664)</f>
        <v>46.66666667</v>
      </c>
      <c r="E13" s="2">
        <f>IFERROR(__xludf.DUMMYFUNCTION("AVERAGE(FILTER({'527'!E13,'528'!E13,'529'!E13}, {'527'!E13,'528'!E13,'529'!E13} &lt;&gt;0))"),76.66666666666667)</f>
        <v>76.66666667</v>
      </c>
      <c r="F13" s="2">
        <f>IFERROR(__xludf.DUMMYFUNCTION("AVERAGE(FILTER({'527'!F13,'528'!F13,'529'!F13}, {'527'!F13,'528'!F13,'529'!F13} &lt;&gt;0))"),60.0)</f>
        <v>60</v>
      </c>
      <c r="G13" s="2">
        <f>IFERROR(__xludf.DUMMYFUNCTION("AVERAGE(FILTER({'527'!G13,'528'!G13,'529'!G13}, {'527'!G13,'528'!G13,'529'!G13} &lt;&gt;0))"),43.333333333333336)</f>
        <v>43.33333333</v>
      </c>
      <c r="H13" s="2">
        <f>IFERROR(__xludf.DUMMYFUNCTION("AVERAGE(FILTER({'527'!H13,'528'!H13,'529'!H13}, {'527'!H13,'528'!H13,'529'!H13} &lt;&gt;0))"),55.0)</f>
        <v>55</v>
      </c>
      <c r="I13" s="2">
        <f>IFERROR(__xludf.DUMMYFUNCTION("AVERAGE(FILTER({'527'!I13,'528'!I13,'529'!I13}, {'527'!I13,'528'!I13,'529'!I13} &lt;&gt;0))"),38.333333333333336)</f>
        <v>38.33333333</v>
      </c>
      <c r="J13" s="2">
        <f>IFERROR(__xludf.DUMMYFUNCTION("AVERAGE(FILTER({'527'!J13,'528'!J13,'529'!J13}, {'527'!J13,'528'!J13,'529'!J13} &lt;&gt;0))"),36.666666666666664)</f>
        <v>36.66666667</v>
      </c>
      <c r="K13" s="2">
        <f>IFERROR(__xludf.DUMMYFUNCTION("AVERAGE(FILTER({'527'!K13,'528'!K13,'529'!K13}, {'527'!K13,'528'!K13,'529'!K13} &lt;&gt;0))"),41.666666666666664)</f>
        <v>41.66666667</v>
      </c>
      <c r="L13" s="2">
        <f>IFERROR(__xludf.DUMMYFUNCTION("AVERAGE(FILTER({'527'!L13,'528'!L13,'529'!L13}, {'527'!L13,'528'!L13,'529'!L13} &lt;&gt;0))"),40.0)</f>
        <v>40</v>
      </c>
      <c r="M13" s="2">
        <f>IFERROR(__xludf.DUMMYFUNCTION("AVERAGE(FILTER({'527'!M13,'528'!M13,'529'!M13}, {'527'!M13,'528'!M13,'529'!M13} &lt;&gt;0))"),30.0)</f>
        <v>30</v>
      </c>
      <c r="N13" s="2">
        <f>IFERROR(__xludf.DUMMYFUNCTION("AVERAGE(FILTER({'527'!N13,'528'!N13,'529'!N13}, {'527'!N13,'528'!N13,'529'!N13} &lt;&gt;0))"),26.0)</f>
        <v>26</v>
      </c>
      <c r="O13" s="2">
        <f>IFERROR(__xludf.DUMMYFUNCTION("AVERAGE(FILTER({'527'!O13,'528'!O13,'529'!O13}, {'527'!O13,'528'!O13,'529'!O13} &lt;&gt;0))"),25.0)</f>
        <v>25</v>
      </c>
      <c r="P13" s="2">
        <f>IFERROR(__xludf.DUMMYFUNCTION("AVERAGE(FILTER({'527'!P13,'528'!P13,'529'!P13}, {'527'!P13,'528'!P13,'529'!P13} &lt;&gt;0))"),10.0)</f>
        <v>10</v>
      </c>
      <c r="R13" s="6">
        <f>IFERROR(__xludf.DUMMYFUNCTION("COUNT(FILTER({'522'!C13:P13,'523'!C13:P13,'524'!C13:P13,'525'!C13:P13,'526'!C13:P13,'527'!C13:P13,'528'!C13:P13,'529'!C13:P13}, {'522'!C13:P13,'523'!C13:P13,'524'!C13:P13,'525'!C13:P13,'526'!C13:P13,'527'!C13:P13,'528'!C13:P13,'529'!C13:P13} =0))"),26.0)</f>
        <v>26</v>
      </c>
      <c r="T13" s="5">
        <f>IFERROR(__xludf.DUMMYFUNCTION("R13 - COUNT(FILTER({'522'!C15:P15,'523'!C14:P14,'524'!C14:P14,'529'!C14:P14,'527'!C14:P14,'525'!C14:P14,'526'!C14:P14,'528'!C14:P14}, {'522'!C15:P15,'523'!C14:P14,'524'!C14:P14,'529'!C14:P14,'527'!C14:P14,'525'!C14:P14,'526'!C14:P14,'528'!C14:P14} = 2))"),6.0)</f>
        <v>6</v>
      </c>
    </row>
    <row r="14">
      <c r="A14" s="3" t="s">
        <v>38</v>
      </c>
      <c r="B14" s="3"/>
      <c r="C14" s="6">
        <f t="shared" ref="C14:P14" si="1">AVERAGE(C3:C13)</f>
        <v>45.68181818</v>
      </c>
      <c r="D14" s="6">
        <f t="shared" si="1"/>
        <v>68.71212121</v>
      </c>
      <c r="E14" s="6">
        <f t="shared" si="1"/>
        <v>76.36363636</v>
      </c>
      <c r="F14" s="6">
        <f t="shared" si="1"/>
        <v>76.51515152</v>
      </c>
      <c r="G14" s="6">
        <f t="shared" si="1"/>
        <v>68.03030303</v>
      </c>
      <c r="H14" s="6">
        <f t="shared" si="1"/>
        <v>67.5</v>
      </c>
      <c r="I14" s="6">
        <f t="shared" si="1"/>
        <v>62.8030303</v>
      </c>
      <c r="J14" s="6">
        <f t="shared" si="1"/>
        <v>66.74242424</v>
      </c>
      <c r="K14" s="6">
        <f t="shared" si="1"/>
        <v>57.72727273</v>
      </c>
      <c r="L14" s="6">
        <f t="shared" si="1"/>
        <v>60.83333333</v>
      </c>
      <c r="M14" s="6">
        <f t="shared" si="1"/>
        <v>61.81818182</v>
      </c>
      <c r="N14" s="6">
        <f t="shared" si="1"/>
        <v>62.15151515</v>
      </c>
      <c r="O14" s="6">
        <f t="shared" si="1"/>
        <v>55.90909091</v>
      </c>
      <c r="P14" s="6">
        <f t="shared" si="1"/>
        <v>49.31818182</v>
      </c>
      <c r="Q14" s="2"/>
    </row>
    <row r="15">
      <c r="A15" s="3"/>
    </row>
    <row r="16">
      <c r="A16" s="3"/>
    </row>
  </sheetData>
  <conditionalFormatting sqref="A1:P13 Q1 R2 Q14">
    <cfRule type="cellIs" dxfId="0" priority="1" operator="equal">
      <formula>0</formula>
    </cfRule>
  </conditionalFormatting>
  <conditionalFormatting sqref="Q14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4:P4 Q14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5:P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6:J6 L6:P6">
    <cfRule type="colorScale" priority="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:J7 L7:P7">
    <cfRule type="colorScale" priority="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8:P8">
    <cfRule type="colorScale" priority="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9:F9 H9:N9 P9">
    <cfRule type="colorScale" priority="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H9:J9 P9">
    <cfRule type="colorScale" priority="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0:P10">
    <cfRule type="colorScale" priority="1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1:P11">
    <cfRule type="colorScale" priority="1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2:P12">
    <cfRule type="colorScale" priority="1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3:P13">
    <cfRule type="colorScale" priority="1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P13">
    <cfRule type="colorScale" priority="1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5:P15">
    <cfRule type="colorScale" priority="15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A1:A2 B1:B1001 C1:P13 Q1:Q1001 R1:T2 U1:U1001 V1:W2 X1:Z1001 A4:A1001 V11:W1001 R14:T1001 C15:P1001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:R13">
    <cfRule type="colorScale" priority="17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S3:T13">
    <cfRule type="colorScale" priority="18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14:P14">
    <cfRule type="colorScale" priority="19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W3:W10">
    <cfRule type="colorScale" priority="20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